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Documents\Data Analysis\Projects\"/>
    </mc:Choice>
  </mc:AlternateContent>
  <xr:revisionPtr revIDLastSave="0" documentId="13_ncr:1_{7F6DFCC3-8A6E-4C54-97B8-37E076349455}" xr6:coauthVersionLast="47" xr6:coauthVersionMax="47" xr10:uidLastSave="{00000000-0000-0000-0000-000000000000}"/>
  <bookViews>
    <workbookView xWindow="-120" yWindow="-120" windowWidth="29040" windowHeight="15720" activeTab="1" xr2:uid="{0B380530-9D0C-4077-8335-299B325FC9E4}"/>
  </bookViews>
  <sheets>
    <sheet name="Analysis" sheetId="1" r:id="rId1"/>
    <sheet name="Dash Board" sheetId="2" r:id="rId2"/>
    <sheet name="Report" sheetId="3" r:id="rId3"/>
  </sheets>
  <definedNames>
    <definedName name="Slicer_Department">#N/A</definedName>
    <definedName name="Slicer_Job_Level">#N/A</definedName>
    <definedName name="Slicer_Job_Title">#N/A</definedName>
  </definedNames>
  <calcPr calcId="191029"/>
  <pivotCaches>
    <pivotCache cacheId="445" r:id="rId4"/>
    <pivotCache cacheId="448" r:id="rId5"/>
    <pivotCache cacheId="451" r:id="rId6"/>
    <pivotCache cacheId="454" r:id="rId7"/>
    <pivotCache cacheId="457" r:id="rId8"/>
    <pivotCache cacheId="460" r:id="rId9"/>
    <pivotCache cacheId="463" r:id="rId10"/>
    <pivotCache cacheId="466" r:id="rId11"/>
    <pivotCache cacheId="469" r:id="rId12"/>
    <pivotCache cacheId="472" r:id="rId13"/>
  </pivotCaches>
  <extLst>
    <ext xmlns:x14="http://schemas.microsoft.com/office/spreadsheetml/2009/9/main" uri="{876F7934-8845-4945-9796-88D515C7AA90}">
      <x14:pivotCaches>
        <pivotCache cacheId="444"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 Salary_a4bd329a-8350-48ec-b65a-591b92e31d9d" name="Hr Salary" connection="Query - Hr Salary"/>
          <x15:modelTable id="Job Class_f9bc8d09-5b44-4dee-b4a1-d72d0c97ca36" name="Job Class" connection="Query - Job Class"/>
        </x15:modelTables>
        <x15:modelRelationships>
          <x15:modelRelationship fromTable="Hr Salary" fromColumn="Job Title" toTable="Job Class" toColumn="Job Titl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7AA19A-11A7-4729-9809-F9343071698D}" name="Query - Hr Salary" description="Connection to the 'Hr Salary' query in the workbook." type="100" refreshedVersion="8" minRefreshableVersion="5">
    <extLst>
      <ext xmlns:x15="http://schemas.microsoft.com/office/spreadsheetml/2010/11/main" uri="{DE250136-89BD-433C-8126-D09CA5730AF9}">
        <x15:connection id="2a7dff17-5387-4c50-ae40-d955bbcf16d7"/>
      </ext>
    </extLst>
  </connection>
  <connection id="2" xr16:uid="{6A71B651-60A9-41A8-85F0-BAC74B035ADC}" name="Query - Job Class" description="Connection to the 'Job Class' query in the workbook." type="100" refreshedVersion="8" minRefreshableVersion="5">
    <extLst>
      <ext xmlns:x15="http://schemas.microsoft.com/office/spreadsheetml/2010/11/main" uri="{DE250136-89BD-433C-8126-D09CA5730AF9}">
        <x15:connection id="87e92866-b93e-4d64-91b0-0109a069e29f">
          <x15:oledbPr connection="Provider=Microsoft.Mashup.OleDb.1;Data Source=$Workbook$;Location=&quot;Job Class&quot;;Extended Properties=&quot;&quot;">
            <x15:dbTables>
              <x15:dbTable name="Job Class"/>
            </x15:dbTables>
          </x15:oledbPr>
        </x15:connection>
      </ext>
    </extLst>
  </connection>
  <connection id="3" xr16:uid="{D4C55004-E101-4DCF-8A01-9CF0DEF77B7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<sst xmlns="http://schemas.openxmlformats.org/spreadsheetml/2006/main" count="78" uniqueCount="54">
  <si>
    <t xml:space="preserve"> </t>
  </si>
  <si>
    <t>1- Total Salary</t>
  </si>
  <si>
    <t>Salaries</t>
  </si>
  <si>
    <t>2- Employees</t>
  </si>
  <si>
    <t>Employees</t>
  </si>
  <si>
    <t>Locations</t>
  </si>
  <si>
    <t>3- Locations</t>
  </si>
  <si>
    <t>4- Departments</t>
  </si>
  <si>
    <t>Departments</t>
  </si>
  <si>
    <t>5- Salary By Location</t>
  </si>
  <si>
    <t>Row Labels</t>
  </si>
  <si>
    <t>Denver</t>
  </si>
  <si>
    <t>Fort Worth</t>
  </si>
  <si>
    <t>Houston</t>
  </si>
  <si>
    <t>Indianapolis</t>
  </si>
  <si>
    <t>Philadelphia</t>
  </si>
  <si>
    <t>San Jose</t>
  </si>
  <si>
    <t>Seattle</t>
  </si>
  <si>
    <t>Grand Total</t>
  </si>
  <si>
    <t>Avg_Salary</t>
  </si>
  <si>
    <t>6- Salary By Education</t>
  </si>
  <si>
    <t>BSC</t>
  </si>
  <si>
    <t>High School</t>
  </si>
  <si>
    <t>Master</t>
  </si>
  <si>
    <t>PhD</t>
  </si>
  <si>
    <t>7- Salary By Experience</t>
  </si>
  <si>
    <t>Finance</t>
  </si>
  <si>
    <t>HR</t>
  </si>
  <si>
    <t>IT</t>
  </si>
  <si>
    <t>Marketing</t>
  </si>
  <si>
    <t>Operations</t>
  </si>
  <si>
    <t>R&amp;D</t>
  </si>
  <si>
    <t>Sales</t>
  </si>
  <si>
    <t>8- Salary By Department</t>
  </si>
  <si>
    <t>9- Top 10 Jobs</t>
  </si>
  <si>
    <t>Data Scientist</t>
  </si>
  <si>
    <t>Financial Analyst</t>
  </si>
  <si>
    <t>IT Manager</t>
  </si>
  <si>
    <t>Logistics Coordinator</t>
  </si>
  <si>
    <t>Operations Manager</t>
  </si>
  <si>
    <t>R&amp;D Manager</t>
  </si>
  <si>
    <t>Research Analyst</t>
  </si>
  <si>
    <t>Sales Executive</t>
  </si>
  <si>
    <t>Software Engineer</t>
  </si>
  <si>
    <t>System Admin</t>
  </si>
  <si>
    <t>Average of Experience (Years)</t>
  </si>
  <si>
    <t>10- Average of Experience</t>
  </si>
  <si>
    <t>بالنسبة لدرجة التعليم واضح أن هناك خلل في توزيع المرتبات بالنسبة للشهادة أو الدرجة العلمية و تحتاج مراجعة و ذلك في كل الدرجات الوظيفية ، و كذلك في كل الأقسام فيما عدا R&amp;D و Sales</t>
  </si>
  <si>
    <t>ننصح بإعادة هيكلة المرتبات طبقا للدرجة العلمية.</t>
  </si>
  <si>
    <t>توزيع المرتبات في مواقع الشركة المختلفة لا ينتهج نهج واضح من حيث الإدارة أو المسمى الوظيفى أو الدرجة الوظيفية.</t>
  </si>
  <si>
    <t>ننصح بإعادة هيكلة المرتبات بطريقة موحدة لفروع الشركة المختلفة.</t>
  </si>
  <si>
    <t>عدد سنوات الخبرة مؤثر جدا في متوسط المرتب و دة مناسب إداريا.</t>
  </si>
  <si>
    <t>لكن ينصح بأخذ قباقى العوامل في الإعتبار.</t>
  </si>
  <si>
    <t>Final Report &amp; Recommendations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</si>
</sst>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numFmts>
  <fonts count="4" x14ac:knownFonts="1">
    <font>
      <sz val="14"/>
      <color theme="1"/>
      <name val="Aptos Narrow"/>
      <family val="2"/>
      <scheme val="minor"/>
    </font>
    <font>
      <sz val="16"/>
      <color theme="1"/>
      <name val="Aptos Narrow"/>
      <family val="2"/>
      <scheme val="minor"/>
    </font>
    <font>
      <sz val="16"/>
      <color theme="0" tint="-0.499984740745262"/>
      <name val="Aptos Narrow"/>
      <family val="2"/>
      <scheme val="minor"/>
    </font>
    <font>
      <b/>
      <sz val="22"/>
      <color theme="0"/>
      <name val="Aptos Narrow"/>
      <family val="2"/>
      <scheme val="minor"/>
    </font>
  </fonts>
  <fills count="4">
    <fill>
      <patternFill patternType="none"/>
    </fill>
    <fill>
      <patternFill patternType="gray125"/>
    </fill>
    <fill>
      <patternFill patternType="solid">
        <fgColor theme="2" tint="-0.749992370372631"/>
        <bgColor indexed="64"/>
      </patternFill>
    </fill>
    <fill>
      <patternFill patternType="solid">
        <fgColor rgb="FFFAECF9"/>
        <bgColor indexed="64"/>
      </patternFill>
    </fill>
  </fills>
  <borders count="9">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1">
    <xf numFmtId="0" fontId="0" fillId="0" borderId="0"/>
  </cellStyleXfs>
  <cellXfs count="21">
    <xf numFmtId="0" fontId="0" fillId="0" borderId="0" xfId="0"/>
    <xf numFmtId="164" fontId="0" fillId="0" borderId="0" xfId="0" applyNumberFormat="1"/>
    <xf numFmtId="0" fontId="0" fillId="0" borderId="0" xfId="0" pivotButton="1"/>
    <xf numFmtId="0" fontId="0" fillId="0" borderId="0" xfId="0" applyNumberFormat="1"/>
    <xf numFmtId="0" fontId="0" fillId="0" borderId="0" xfId="0" applyAlignment="1">
      <alignment horizontal="left"/>
    </xf>
    <xf numFmtId="1" fontId="0" fillId="0" borderId="0" xfId="0" applyNumberFormat="1"/>
    <xf numFmtId="0" fontId="0" fillId="2" borderId="0" xfId="0" applyFill="1"/>
    <xf numFmtId="0" fontId="0" fillId="3" borderId="1" xfId="0" applyFill="1" applyBorder="1" applyAlignment="1">
      <alignment horizontal="center"/>
    </xf>
    <xf numFmtId="0" fontId="0" fillId="3" borderId="0" xfId="0" applyFill="1" applyAlignment="1">
      <alignment horizontal="center"/>
    </xf>
    <xf numFmtId="0" fontId="0" fillId="3" borderId="2" xfId="0" applyFill="1" applyBorder="1" applyAlignment="1">
      <alignment horizontal="center"/>
    </xf>
    <xf numFmtId="0" fontId="1" fillId="3" borderId="3" xfId="0" applyFont="1" applyFill="1" applyBorder="1" applyAlignment="1">
      <alignment horizontal="right" vertical="center" wrapText="1"/>
    </xf>
    <xf numFmtId="0" fontId="1" fillId="3" borderId="4" xfId="0" applyFont="1" applyFill="1" applyBorder="1" applyAlignment="1">
      <alignment horizontal="right" vertical="center"/>
    </xf>
    <xf numFmtId="0" fontId="1" fillId="3" borderId="5" xfId="0" applyFont="1" applyFill="1" applyBorder="1" applyAlignment="1">
      <alignment horizontal="right" vertical="center"/>
    </xf>
    <xf numFmtId="0" fontId="2" fillId="3" borderId="1" xfId="0" applyFont="1" applyFill="1" applyBorder="1" applyAlignment="1">
      <alignment horizontal="right" vertical="center" wrapText="1"/>
    </xf>
    <xf numFmtId="0" fontId="2" fillId="3" borderId="0" xfId="0" applyFont="1" applyFill="1" applyAlignment="1">
      <alignment horizontal="right" vertical="center" wrapText="1"/>
    </xf>
    <xf numFmtId="0" fontId="2" fillId="3" borderId="2" xfId="0" applyFont="1" applyFill="1" applyBorder="1" applyAlignment="1">
      <alignment horizontal="right" vertical="center" wrapText="1"/>
    </xf>
    <xf numFmtId="0" fontId="2" fillId="3" borderId="0" xfId="0" applyFont="1" applyFill="1" applyAlignment="1">
      <alignment horizontal="right" vertical="center"/>
    </xf>
    <xf numFmtId="0" fontId="2" fillId="3" borderId="2" xfId="0" applyFont="1" applyFill="1" applyBorder="1" applyAlignment="1">
      <alignment horizontal="right"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8" xfId="0" applyFont="1" applyFill="1" applyBorder="1" applyAlignment="1">
      <alignment horizontal="center" vertical="center"/>
    </xf>
  </cellXfs>
  <cellStyles count="1">
    <cellStyle name="Normal" xfId="0" builtinId="0"/>
  </cellStyles>
  <dxfs count="0"/>
  <tableStyles count="1" defaultTableStyle="TableStyleMedium2" defaultPivotStyle="PivotStyleLight16">
    <tableStyle name="Invisible" pivot="0" table="0" count="0" xr9:uid="{E2FA7D34-A50C-4623-A9E1-EA6EA287781B}"/>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4D4D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50" Type="http://schemas.openxmlformats.org/officeDocument/2006/relationships/customXml" Target="../customXml/item28.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7.xml"/><Relationship Id="rId11" Type="http://schemas.openxmlformats.org/officeDocument/2006/relationships/pivotCacheDefinition" Target="pivotCache/pivotCacheDefinition8.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49" Type="http://schemas.openxmlformats.org/officeDocument/2006/relationships/customXml" Target="../customXml/item27.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tyles" Target="styles.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[Book1.xlsx]Analysis!PivotTable5</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Salary By Location</a:t>
            </a:r>
          </a:p>
        </c:rich>
      </c:tx>
      <c:layout>
        <c:manualLayout>
          <c:xMode val="edge"/>
          <c:yMode val="edge"/>
          <c:x val="0.35961382449571427"/>
          <c:y val="3.4271354378575022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Analysis!$E$5</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Analysis!$D$6:$D$13</c:f>
              <c:strCache>
                <c:ptCount val="7"/>
                <c:pt idx="0">
                  <c:v>Philadelphia</c:v>
                </c:pt>
                <c:pt idx="1">
                  <c:v>Houston</c:v>
                </c:pt>
                <c:pt idx="2">
                  <c:v>Denver</c:v>
                </c:pt>
                <c:pt idx="3">
                  <c:v>Seattle</c:v>
                </c:pt>
                <c:pt idx="4">
                  <c:v>Fort Worth</c:v>
                </c:pt>
                <c:pt idx="5">
                  <c:v>San Jose</c:v>
                </c:pt>
                <c:pt idx="6">
                  <c:v>Indianapolis</c:v>
                </c:pt>
              </c:strCache>
            </c:strRef>
          </c:cat>
          <c:val>
            <c:numRef>
              <c:f>Analysis!$E$6:$E$13</c:f>
              <c:numCache>
                <c:formatCode>\$#,##0;\(\$#,##0\);\$#,##0</c:formatCode>
                <c:ptCount val="7"/>
                <c:pt idx="0">
                  <c:v>9624.4025974025972</c:v>
                </c:pt>
                <c:pt idx="1">
                  <c:v>9648.4696969696961</c:v>
                </c:pt>
                <c:pt idx="2">
                  <c:v>9730.8533333333326</c:v>
                </c:pt>
                <c:pt idx="3">
                  <c:v>9805.9324324324316</c:v>
                </c:pt>
                <c:pt idx="4">
                  <c:v>9926.818181818182</c:v>
                </c:pt>
                <c:pt idx="5">
                  <c:v>10275.313432835821</c:v>
                </c:pt>
                <c:pt idx="6">
                  <c:v>10570.546875</c:v>
                </c:pt>
              </c:numCache>
            </c:numRef>
          </c:val>
          <c:extLst>
            <c:ext xmlns:c16="http://schemas.microsoft.com/office/drawing/2014/chart" uri="{C3380CC4-5D6E-409C-BE32-E72D297353CC}">
              <c16:uniqueId val="{00000000-4B05-48E8-ACB2-699F9CE997D3}"/>
            </c:ext>
          </c:extLst>
        </c:ser>
        <c:dLbls>
          <c:dLblPos val="outEnd"/>
          <c:showLegendKey val="0"/>
          <c:showVal val="1"/>
          <c:showCatName val="0"/>
          <c:showSerName val="0"/>
          <c:showPercent val="0"/>
          <c:showBubbleSize val="0"/>
        </c:dLbls>
        <c:gapWidth val="182"/>
        <c:overlap val="-50"/>
        <c:axId val="1507386592"/>
        <c:axId val="1507390432"/>
      </c:barChart>
      <c:catAx>
        <c:axId val="150738659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07390432"/>
        <c:crosses val="autoZero"/>
        <c:auto val="1"/>
        <c:lblAlgn val="ctr"/>
        <c:lblOffset val="100"/>
        <c:noMultiLvlLbl val="0"/>
      </c:catAx>
      <c:valAx>
        <c:axId val="1507390432"/>
        <c:scaling>
          <c:orientation val="minMax"/>
        </c:scaling>
        <c:delete val="1"/>
        <c:axPos val="b"/>
        <c:numFmt formatCode="\$#,##0;\(\$#,##0\);\$#,##0" sourceLinked="1"/>
        <c:majorTickMark val="none"/>
        <c:minorTickMark val="none"/>
        <c:tickLblPos val="nextTo"/>
        <c:crossAx val="1507386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[Book1.xlsx]Analysis!PivotTable6</c:name>
    <c:fmtId val="1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Salary By Education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Analysis!$I$5</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Analysis!$H$6:$H$10</c:f>
              <c:strCache>
                <c:ptCount val="4"/>
                <c:pt idx="0">
                  <c:v>BSC</c:v>
                </c:pt>
                <c:pt idx="1">
                  <c:v>High School</c:v>
                </c:pt>
                <c:pt idx="2">
                  <c:v>Master</c:v>
                </c:pt>
                <c:pt idx="3">
                  <c:v>PhD</c:v>
                </c:pt>
              </c:strCache>
            </c:strRef>
          </c:cat>
          <c:val>
            <c:numRef>
              <c:f>Analysis!$I$6:$I$10</c:f>
              <c:numCache>
                <c:formatCode>\$#,##0;\(\$#,##0\);\$#,##0</c:formatCode>
                <c:ptCount val="4"/>
                <c:pt idx="0">
                  <c:v>9816.6832061068708</c:v>
                </c:pt>
                <c:pt idx="1">
                  <c:v>9952.0666666666675</c:v>
                </c:pt>
                <c:pt idx="2">
                  <c:v>10197.954128440368</c:v>
                </c:pt>
                <c:pt idx="3">
                  <c:v>9755.9166666666661</c:v>
                </c:pt>
              </c:numCache>
            </c:numRef>
          </c:val>
          <c:extLst>
            <c:ext xmlns:c16="http://schemas.microsoft.com/office/drawing/2014/chart" uri="{C3380CC4-5D6E-409C-BE32-E72D297353CC}">
              <c16:uniqueId val="{00000000-D9D3-403D-A6CF-9ACC409C572C}"/>
            </c:ext>
          </c:extLst>
        </c:ser>
        <c:dLbls>
          <c:dLblPos val="outEnd"/>
          <c:showLegendKey val="0"/>
          <c:showVal val="1"/>
          <c:showCatName val="0"/>
          <c:showSerName val="0"/>
          <c:showPercent val="0"/>
          <c:showBubbleSize val="0"/>
        </c:dLbls>
        <c:gapWidth val="315"/>
        <c:overlap val="-40"/>
        <c:axId val="975359776"/>
        <c:axId val="975364576"/>
      </c:barChart>
      <c:catAx>
        <c:axId val="975359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75364576"/>
        <c:crosses val="autoZero"/>
        <c:auto val="1"/>
        <c:lblAlgn val="ctr"/>
        <c:lblOffset val="100"/>
        <c:noMultiLvlLbl val="0"/>
      </c:catAx>
      <c:valAx>
        <c:axId val="975364576"/>
        <c:scaling>
          <c:orientation val="minMax"/>
        </c:scaling>
        <c:delete val="1"/>
        <c:axPos val="l"/>
        <c:numFmt formatCode="\$#,##0;\(\$#,##0\);\$#,##0" sourceLinked="1"/>
        <c:majorTickMark val="none"/>
        <c:minorTickMark val="none"/>
        <c:tickLblPos val="nextTo"/>
        <c:crossAx val="975359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[Book1.xlsx]Analysis!PivotTable7</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Salary By Experience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Analysis!$E$19</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Analysis!$D$20:$D$56</c:f>
              <c:strCache>
                <c:ptCount val="3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37</c:v>
                </c:pt>
              </c:strCache>
            </c:strRef>
          </c:cat>
          <c:val>
            <c:numRef>
              <c:f>Analysis!$E$20:$E$56</c:f>
              <c:numCache>
                <c:formatCode>\$#,##0;\(\$#,##0\);\$#,##0</c:formatCode>
                <c:ptCount val="36"/>
                <c:pt idx="0">
                  <c:v>5808.0344827586205</c:v>
                </c:pt>
                <c:pt idx="1">
                  <c:v>6348.478260869565</c:v>
                </c:pt>
                <c:pt idx="2">
                  <c:v>6528.25</c:v>
                </c:pt>
                <c:pt idx="3">
                  <c:v>7416.2941176470586</c:v>
                </c:pt>
                <c:pt idx="4">
                  <c:v>7836.08</c:v>
                </c:pt>
                <c:pt idx="5">
                  <c:v>8115.4285714285716</c:v>
                </c:pt>
                <c:pt idx="6">
                  <c:v>7882.333333333333</c:v>
                </c:pt>
                <c:pt idx="7">
                  <c:v>8836.2000000000007</c:v>
                </c:pt>
                <c:pt idx="8">
                  <c:v>8817.0769230769238</c:v>
                </c:pt>
                <c:pt idx="9">
                  <c:v>9717.181818181818</c:v>
                </c:pt>
                <c:pt idx="10">
                  <c:v>9713.454545454546</c:v>
                </c:pt>
                <c:pt idx="11">
                  <c:v>10172.611111111111</c:v>
                </c:pt>
                <c:pt idx="12">
                  <c:v>10604.45</c:v>
                </c:pt>
                <c:pt idx="13">
                  <c:v>10677.666666666666</c:v>
                </c:pt>
                <c:pt idx="14">
                  <c:v>10835.3125</c:v>
                </c:pt>
                <c:pt idx="15">
                  <c:v>11643.533333333333</c:v>
                </c:pt>
                <c:pt idx="16">
                  <c:v>12042.173913043478</c:v>
                </c:pt>
                <c:pt idx="17">
                  <c:v>11601.5625</c:v>
                </c:pt>
                <c:pt idx="18">
                  <c:v>12015.272727272728</c:v>
                </c:pt>
                <c:pt idx="19">
                  <c:v>13130.5</c:v>
                </c:pt>
                <c:pt idx="20">
                  <c:v>12214.285714285714</c:v>
                </c:pt>
                <c:pt idx="21">
                  <c:v>13862.9</c:v>
                </c:pt>
                <c:pt idx="22">
                  <c:v>13721.3</c:v>
                </c:pt>
                <c:pt idx="23">
                  <c:v>13648</c:v>
                </c:pt>
                <c:pt idx="24">
                  <c:v>14713</c:v>
                </c:pt>
                <c:pt idx="25">
                  <c:v>16005.166666666666</c:v>
                </c:pt>
                <c:pt idx="26">
                  <c:v>16182.375</c:v>
                </c:pt>
                <c:pt idx="27">
                  <c:v>15153.75</c:v>
                </c:pt>
                <c:pt idx="28">
                  <c:v>17912.5</c:v>
                </c:pt>
                <c:pt idx="29">
                  <c:v>14154.333333333334</c:v>
                </c:pt>
                <c:pt idx="30">
                  <c:v>16074.333333333334</c:v>
                </c:pt>
                <c:pt idx="31">
                  <c:v>17084</c:v>
                </c:pt>
                <c:pt idx="32">
                  <c:v>19552</c:v>
                </c:pt>
                <c:pt idx="33">
                  <c:v>13250.5</c:v>
                </c:pt>
                <c:pt idx="34">
                  <c:v>20543</c:v>
                </c:pt>
                <c:pt idx="35">
                  <c:v>16899</c:v>
                </c:pt>
              </c:numCache>
            </c:numRef>
          </c:val>
          <c:smooth val="0"/>
          <c:extLst>
            <c:ext xmlns:c16="http://schemas.microsoft.com/office/drawing/2014/chart" uri="{C3380CC4-5D6E-409C-BE32-E72D297353CC}">
              <c16:uniqueId val="{00000000-9DA8-47D2-AB99-C213094C6B62}"/>
            </c:ext>
          </c:extLst>
        </c:ser>
        <c:dLbls>
          <c:showLegendKey val="0"/>
          <c:showVal val="0"/>
          <c:showCatName val="0"/>
          <c:showSerName val="0"/>
          <c:showPercent val="0"/>
          <c:showBubbleSize val="0"/>
        </c:dLbls>
        <c:marker val="1"/>
        <c:smooth val="0"/>
        <c:axId val="1422397824"/>
        <c:axId val="1422400704"/>
      </c:lineChart>
      <c:catAx>
        <c:axId val="1422397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22400704"/>
        <c:crosses val="autoZero"/>
        <c:auto val="1"/>
        <c:lblAlgn val="ctr"/>
        <c:lblOffset val="100"/>
        <c:noMultiLvlLbl val="0"/>
      </c:catAx>
      <c:valAx>
        <c:axId val="1422400704"/>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22397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[Book1.xlsx]Analysis!PivotTable8</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Salary By Department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Analysis!$I$19</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Analysis!$H$20:$H$27</c:f>
              <c:strCache>
                <c:ptCount val="7"/>
                <c:pt idx="0">
                  <c:v>Finance</c:v>
                </c:pt>
                <c:pt idx="1">
                  <c:v>HR</c:v>
                </c:pt>
                <c:pt idx="2">
                  <c:v>IT</c:v>
                </c:pt>
                <c:pt idx="3">
                  <c:v>Marketing</c:v>
                </c:pt>
                <c:pt idx="4">
                  <c:v>Operations</c:v>
                </c:pt>
                <c:pt idx="5">
                  <c:v>R&amp;D</c:v>
                </c:pt>
                <c:pt idx="6">
                  <c:v>Sales</c:v>
                </c:pt>
              </c:strCache>
            </c:strRef>
          </c:cat>
          <c:val>
            <c:numRef>
              <c:f>Analysis!$I$20:$I$27</c:f>
              <c:numCache>
                <c:formatCode>\$#,##0;\(\$#,##0\);\$#,##0</c:formatCode>
                <c:ptCount val="7"/>
                <c:pt idx="0">
                  <c:v>9484.5245901639337</c:v>
                </c:pt>
                <c:pt idx="1">
                  <c:v>8216.0689655172409</c:v>
                </c:pt>
                <c:pt idx="2">
                  <c:v>12152.5</c:v>
                </c:pt>
                <c:pt idx="3">
                  <c:v>8973.9125000000004</c:v>
                </c:pt>
                <c:pt idx="4">
                  <c:v>9319.7285714285717</c:v>
                </c:pt>
                <c:pt idx="5">
                  <c:v>11623.743243243243</c:v>
                </c:pt>
                <c:pt idx="6">
                  <c:v>9154.7792207792209</c:v>
                </c:pt>
              </c:numCache>
            </c:numRef>
          </c:val>
          <c:extLst>
            <c:ext xmlns:c16="http://schemas.microsoft.com/office/drawing/2014/chart" uri="{C3380CC4-5D6E-409C-BE32-E72D297353CC}">
              <c16:uniqueId val="{00000000-978D-42FE-A49B-04A7AD5A68B7}"/>
            </c:ext>
          </c:extLst>
        </c:ser>
        <c:dLbls>
          <c:dLblPos val="outEnd"/>
          <c:showLegendKey val="0"/>
          <c:showVal val="1"/>
          <c:showCatName val="0"/>
          <c:showSerName val="0"/>
          <c:showPercent val="0"/>
          <c:showBubbleSize val="0"/>
        </c:dLbls>
        <c:gapWidth val="315"/>
        <c:overlap val="-40"/>
        <c:axId val="1094924144"/>
        <c:axId val="1098643488"/>
      </c:barChart>
      <c:catAx>
        <c:axId val="109492414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8643488"/>
        <c:crosses val="autoZero"/>
        <c:auto val="1"/>
        <c:lblAlgn val="ctr"/>
        <c:lblOffset val="100"/>
        <c:noMultiLvlLbl val="0"/>
      </c:catAx>
      <c:valAx>
        <c:axId val="1098643488"/>
        <c:scaling>
          <c:orientation val="minMax"/>
        </c:scaling>
        <c:delete val="1"/>
        <c:axPos val="l"/>
        <c:numFmt formatCode="\$#,##0;\(\$#,##0\);\$#,##0" sourceLinked="1"/>
        <c:majorTickMark val="none"/>
        <c:minorTickMark val="none"/>
        <c:tickLblPos val="nextTo"/>
        <c:crossAx val="1094924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[Book1.xlsx]Analysis!PivotTable9</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 10 Jobs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Analysis!$M$5</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Analysis!$L$6:$L$16</c:f>
              <c:strCache>
                <c:ptCount val="10"/>
                <c:pt idx="0">
                  <c:v>Data Scientist</c:v>
                </c:pt>
                <c:pt idx="1">
                  <c:v>Financial Analyst</c:v>
                </c:pt>
                <c:pt idx="2">
                  <c:v>IT Manager</c:v>
                </c:pt>
                <c:pt idx="3">
                  <c:v>Logistics Coordinator</c:v>
                </c:pt>
                <c:pt idx="4">
                  <c:v>Operations Manager</c:v>
                </c:pt>
                <c:pt idx="5">
                  <c:v>R&amp;D Manager</c:v>
                </c:pt>
                <c:pt idx="6">
                  <c:v>Research Analyst</c:v>
                </c:pt>
                <c:pt idx="7">
                  <c:v>Sales Executive</c:v>
                </c:pt>
                <c:pt idx="8">
                  <c:v>Software Engineer</c:v>
                </c:pt>
                <c:pt idx="9">
                  <c:v>System Admin</c:v>
                </c:pt>
              </c:strCache>
            </c:strRef>
          </c:cat>
          <c:val>
            <c:numRef>
              <c:f>Analysis!$M$6:$M$16</c:f>
              <c:numCache>
                <c:formatCode>\$#,##0;\(\$#,##0\);\$#,##0</c:formatCode>
                <c:ptCount val="10"/>
                <c:pt idx="0">
                  <c:v>12049.6</c:v>
                </c:pt>
                <c:pt idx="1">
                  <c:v>10236.5</c:v>
                </c:pt>
                <c:pt idx="2">
                  <c:v>11926.208333333334</c:v>
                </c:pt>
                <c:pt idx="3">
                  <c:v>9542.3214285714294</c:v>
                </c:pt>
                <c:pt idx="4">
                  <c:v>9471.173913043478</c:v>
                </c:pt>
                <c:pt idx="5">
                  <c:v>12414.541666666666</c:v>
                </c:pt>
                <c:pt idx="6">
                  <c:v>10707.2</c:v>
                </c:pt>
                <c:pt idx="7">
                  <c:v>10007.846153846154</c:v>
                </c:pt>
                <c:pt idx="8">
                  <c:v>11956.181818181818</c:v>
                </c:pt>
                <c:pt idx="9">
                  <c:v>12670.304347826086</c:v>
                </c:pt>
              </c:numCache>
            </c:numRef>
          </c:val>
          <c:extLst>
            <c:ext xmlns:c16="http://schemas.microsoft.com/office/drawing/2014/chart" uri="{C3380CC4-5D6E-409C-BE32-E72D297353CC}">
              <c16:uniqueId val="{00000000-CADF-46B3-A6CD-9E583E75CDA6}"/>
            </c:ext>
          </c:extLst>
        </c:ser>
        <c:dLbls>
          <c:dLblPos val="outEnd"/>
          <c:showLegendKey val="0"/>
          <c:showVal val="1"/>
          <c:showCatName val="0"/>
          <c:showSerName val="0"/>
          <c:showPercent val="0"/>
          <c:showBubbleSize val="0"/>
        </c:dLbls>
        <c:gapWidth val="182"/>
        <c:overlap val="-50"/>
        <c:axId val="1098658848"/>
        <c:axId val="1098663168"/>
      </c:barChart>
      <c:catAx>
        <c:axId val="1098658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8663168"/>
        <c:crosses val="autoZero"/>
        <c:auto val="1"/>
        <c:lblAlgn val="ctr"/>
        <c:lblOffset val="100"/>
        <c:noMultiLvlLbl val="0"/>
      </c:catAx>
      <c:valAx>
        <c:axId val="1098663168"/>
        <c:scaling>
          <c:orientation val="minMax"/>
        </c:scaling>
        <c:delete val="1"/>
        <c:axPos val="b"/>
        <c:numFmt formatCode="\$#,##0;\(\$#,##0\);\$#,##0" sourceLinked="1"/>
        <c:majorTickMark val="none"/>
        <c:minorTickMark val="none"/>
        <c:tickLblPos val="nextTo"/>
        <c:crossAx val="1098658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[Book1.xlsx]Analysis!PivotTable10</c:name>
    <c:fmtId val="41"/>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Average of Experience</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Analysis!$M$22</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Analysis!$L$23:$L$33</c:f>
              <c:strCache>
                <c:ptCount val="10"/>
                <c:pt idx="0">
                  <c:v>Data Scientist</c:v>
                </c:pt>
                <c:pt idx="1">
                  <c:v>Financial Analyst</c:v>
                </c:pt>
                <c:pt idx="2">
                  <c:v>IT Manager</c:v>
                </c:pt>
                <c:pt idx="3">
                  <c:v>Logistics Coordinator</c:v>
                </c:pt>
                <c:pt idx="4">
                  <c:v>Operations Manager</c:v>
                </c:pt>
                <c:pt idx="5">
                  <c:v>R&amp;D Manager</c:v>
                </c:pt>
                <c:pt idx="6">
                  <c:v>Research Analyst</c:v>
                </c:pt>
                <c:pt idx="7">
                  <c:v>Sales Executive</c:v>
                </c:pt>
                <c:pt idx="8">
                  <c:v>Software Engineer</c:v>
                </c:pt>
                <c:pt idx="9">
                  <c:v>System Admin</c:v>
                </c:pt>
              </c:strCache>
            </c:strRef>
          </c:cat>
          <c:val>
            <c:numRef>
              <c:f>Analysis!$M$23:$M$33</c:f>
              <c:numCache>
                <c:formatCode>0</c:formatCode>
                <c:ptCount val="10"/>
                <c:pt idx="0">
                  <c:v>12.1</c:v>
                </c:pt>
                <c:pt idx="1">
                  <c:v>12.875</c:v>
                </c:pt>
                <c:pt idx="2">
                  <c:v>10.708333333333334</c:v>
                </c:pt>
                <c:pt idx="3">
                  <c:v>11.571428571428571</c:v>
                </c:pt>
                <c:pt idx="4">
                  <c:v>9.7391304347826093</c:v>
                </c:pt>
                <c:pt idx="5">
                  <c:v>13.791666666666666</c:v>
                </c:pt>
                <c:pt idx="6">
                  <c:v>10.833333333333334</c:v>
                </c:pt>
                <c:pt idx="7">
                  <c:v>11.846153846153847</c:v>
                </c:pt>
                <c:pt idx="8">
                  <c:v>11.848484848484848</c:v>
                </c:pt>
                <c:pt idx="9">
                  <c:v>13.695652173913043</c:v>
                </c:pt>
              </c:numCache>
            </c:numRef>
          </c:val>
          <c:extLst>
            <c:ext xmlns:c16="http://schemas.microsoft.com/office/drawing/2014/chart" uri="{C3380CC4-5D6E-409C-BE32-E72D297353CC}">
              <c16:uniqueId val="{00000000-9D19-42F7-918C-515927E6FCB0}"/>
            </c:ext>
          </c:extLst>
        </c:ser>
        <c:dLbls>
          <c:showLegendKey val="0"/>
          <c:showVal val="1"/>
          <c:showCatName val="0"/>
          <c:showSerName val="0"/>
          <c:showPercent val="0"/>
          <c:showBubbleSize val="0"/>
        </c:dLbls>
        <c:gapWidth val="84"/>
        <c:gapDepth val="53"/>
        <c:shape val="box"/>
        <c:axId val="1098662688"/>
        <c:axId val="1098663648"/>
        <c:axId val="0"/>
      </c:bar3DChart>
      <c:catAx>
        <c:axId val="1098662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8663648"/>
        <c:crosses val="autoZero"/>
        <c:auto val="1"/>
        <c:lblAlgn val="ctr"/>
        <c:lblOffset val="100"/>
        <c:noMultiLvlLbl val="0"/>
      </c:catAx>
      <c:valAx>
        <c:axId val="1098663648"/>
        <c:scaling>
          <c:orientation val="minMax"/>
        </c:scaling>
        <c:delete val="1"/>
        <c:axPos val="l"/>
        <c:numFmt formatCode="0" sourceLinked="1"/>
        <c:majorTickMark val="out"/>
        <c:minorTickMark val="none"/>
        <c:tickLblPos val="nextTo"/>
        <c:crossAx val="1098662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449599</xdr:colOff>
      <xdr:row>7</xdr:row>
      <xdr:rowOff>187030</xdr:rowOff>
    </xdr:from>
    <xdr:to>
      <xdr:col>5</xdr:col>
      <xdr:colOff>830773</xdr:colOff>
      <xdr:row>19</xdr:row>
      <xdr:rowOff>84977</xdr:rowOff>
    </xdr:to>
    <xdr:graphicFrame macro="">
      <xdr:nvGraphicFramePr>
        <xdr:cNvPr id="2" name="Chart 1">
          <a:extLst>
            <a:ext uri="{FF2B5EF4-FFF2-40B4-BE49-F238E27FC236}">
              <a16:creationId xmlns:a16="http://schemas.microsoft.com/office/drawing/2014/main" id="{92DB9294-A44C-4828-8E5F-AAF2A4B998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515401</xdr:colOff>
      <xdr:row>19</xdr:row>
      <xdr:rowOff>153015</xdr:rowOff>
    </xdr:from>
    <xdr:to>
      <xdr:col>17</xdr:col>
      <xdr:colOff>45830</xdr:colOff>
      <xdr:row>31</xdr:row>
      <xdr:rowOff>45846</xdr:rowOff>
    </xdr:to>
    <xdr:graphicFrame macro="">
      <xdr:nvGraphicFramePr>
        <xdr:cNvPr id="3" name="Chart 2">
          <a:extLst>
            <a:ext uri="{FF2B5EF4-FFF2-40B4-BE49-F238E27FC236}">
              <a16:creationId xmlns:a16="http://schemas.microsoft.com/office/drawing/2014/main" id="{C1A293D5-01C6-4627-9FB3-337E2B40BE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59222</xdr:colOff>
      <xdr:row>7</xdr:row>
      <xdr:rowOff>190375</xdr:rowOff>
    </xdr:from>
    <xdr:to>
      <xdr:col>11</xdr:col>
      <xdr:colOff>445667</xdr:colOff>
      <xdr:row>19</xdr:row>
      <xdr:rowOff>66470</xdr:rowOff>
    </xdr:to>
    <xdr:graphicFrame macro="">
      <xdr:nvGraphicFramePr>
        <xdr:cNvPr id="4" name="Chart 3">
          <a:extLst>
            <a:ext uri="{FF2B5EF4-FFF2-40B4-BE49-F238E27FC236}">
              <a16:creationId xmlns:a16="http://schemas.microsoft.com/office/drawing/2014/main" id="{000C1413-2847-4688-9516-E6371F2754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449599</xdr:colOff>
      <xdr:row>19</xdr:row>
      <xdr:rowOff>156447</xdr:rowOff>
    </xdr:from>
    <xdr:to>
      <xdr:col>5</xdr:col>
      <xdr:colOff>833877</xdr:colOff>
      <xdr:row>31</xdr:row>
      <xdr:rowOff>46477</xdr:rowOff>
    </xdr:to>
    <xdr:graphicFrame macro="">
      <xdr:nvGraphicFramePr>
        <xdr:cNvPr id="5" name="Chart 4">
          <a:extLst>
            <a:ext uri="{FF2B5EF4-FFF2-40B4-BE49-F238E27FC236}">
              <a16:creationId xmlns:a16="http://schemas.microsoft.com/office/drawing/2014/main" id="{2F659AE6-2E45-4DEE-B488-E55F627210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58602</xdr:colOff>
      <xdr:row>19</xdr:row>
      <xdr:rowOff>155671</xdr:rowOff>
    </xdr:from>
    <xdr:to>
      <xdr:col>11</xdr:col>
      <xdr:colOff>450410</xdr:colOff>
      <xdr:row>31</xdr:row>
      <xdr:rowOff>44171</xdr:rowOff>
    </xdr:to>
    <xdr:graphicFrame macro="">
      <xdr:nvGraphicFramePr>
        <xdr:cNvPr id="6" name="Chart 5">
          <a:extLst>
            <a:ext uri="{FF2B5EF4-FFF2-40B4-BE49-F238E27FC236}">
              <a16:creationId xmlns:a16="http://schemas.microsoft.com/office/drawing/2014/main" id="{14517032-18F5-4C49-851F-2D61D33E3E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604630</xdr:colOff>
      <xdr:row>2</xdr:row>
      <xdr:rowOff>91109</xdr:rowOff>
    </xdr:from>
    <xdr:ext cx="2973457" cy="1262012"/>
    <xdr:sp macro="" textlink="">
      <xdr:nvSpPr>
        <xdr:cNvPr id="7" name="Rectangle 6">
          <a:extLst>
            <a:ext uri="{FF2B5EF4-FFF2-40B4-BE49-F238E27FC236}">
              <a16:creationId xmlns:a16="http://schemas.microsoft.com/office/drawing/2014/main" id="{0ACBB291-81CF-F5DA-6870-7129FC3ABE17}"/>
            </a:ext>
          </a:extLst>
        </xdr:cNvPr>
        <xdr:cNvSpPr/>
      </xdr:nvSpPr>
      <xdr:spPr>
        <a:xfrm>
          <a:off x="604630" y="571500"/>
          <a:ext cx="2973457" cy="1262012"/>
        </a:xfrm>
        <a:prstGeom prst="rect">
          <a:avLst/>
        </a:prstGeom>
        <a:noFill/>
        <a:ln>
          <a:noFill/>
        </a:ln>
      </xdr:spPr>
      <xdr:txBody>
        <a:bodyPr wrap="square" lIns="91440" tIns="45720" rIns="91440" bIns="45720">
          <a:spAutoFit/>
        </a:bodyPr>
        <a:lstStyle/>
        <a:p>
          <a:pPr algn="ctr"/>
          <a:r>
            <a:rPr lang="en-GB" sz="4000" b="1" cap="none" spc="0">
              <a:ln w="9525">
                <a:noFill/>
                <a:prstDash val="solid"/>
              </a:ln>
              <a:solidFill>
                <a:schemeClr val="bg2"/>
              </a:solidFill>
              <a:effectLst>
                <a:outerShdw blurRad="12700" dist="38100" dir="2700000" algn="tl" rotWithShape="0">
                  <a:schemeClr val="bg1">
                    <a:lumMod val="50000"/>
                  </a:schemeClr>
                </a:outerShdw>
              </a:effectLst>
              <a:latin typeface="Centaur" panose="02030504050205020304" pitchFamily="18" charset="0"/>
              <a:cs typeface="Cascadia Code Light" panose="020B0609020000020004" pitchFamily="49" charset="0"/>
            </a:rPr>
            <a:t>Salary</a:t>
          </a:r>
          <a:r>
            <a:rPr lang="en-GB" sz="4000" b="1" cap="none" spc="0" baseline="0">
              <a:ln w="9525">
                <a:noFill/>
                <a:prstDash val="solid"/>
              </a:ln>
              <a:solidFill>
                <a:schemeClr val="bg2"/>
              </a:solidFill>
              <a:effectLst>
                <a:outerShdw blurRad="12700" dist="38100" dir="2700000" algn="tl" rotWithShape="0">
                  <a:schemeClr val="bg1">
                    <a:lumMod val="50000"/>
                  </a:schemeClr>
                </a:outerShdw>
              </a:effectLst>
              <a:latin typeface="Centaur" panose="02030504050205020304" pitchFamily="18" charset="0"/>
              <a:cs typeface="Cascadia Code Light" panose="020B0609020000020004" pitchFamily="49" charset="0"/>
            </a:rPr>
            <a:t> Analysis</a:t>
          </a:r>
        </a:p>
        <a:p>
          <a:pPr algn="ctr"/>
          <a:r>
            <a:rPr lang="en-GB" sz="4000" b="1" cap="none" spc="0" baseline="0">
              <a:ln w="9525">
                <a:noFill/>
                <a:prstDash val="solid"/>
              </a:ln>
              <a:solidFill>
                <a:schemeClr val="bg2"/>
              </a:solidFill>
              <a:effectLst>
                <a:outerShdw blurRad="12700" dist="38100" dir="2700000" algn="tl" rotWithShape="0">
                  <a:schemeClr val="bg1">
                    <a:lumMod val="50000"/>
                  </a:schemeClr>
                </a:outerShdw>
              </a:effectLst>
              <a:latin typeface="Centaur" panose="02030504050205020304" pitchFamily="18" charset="0"/>
              <a:cs typeface="Cascadia Code Light" panose="020B0609020000020004" pitchFamily="49" charset="0"/>
            </a:rPr>
            <a:t> Dash Board</a:t>
          </a:r>
          <a:endParaRPr lang="en-GB" sz="4000" b="1" cap="none" spc="0">
            <a:ln w="9525">
              <a:noFill/>
              <a:prstDash val="solid"/>
            </a:ln>
            <a:solidFill>
              <a:schemeClr val="bg2"/>
            </a:solidFill>
            <a:effectLst>
              <a:outerShdw blurRad="12700" dist="38100" dir="2700000" algn="tl" rotWithShape="0">
                <a:schemeClr val="bg1">
                  <a:lumMod val="50000"/>
                </a:schemeClr>
              </a:outerShdw>
            </a:effectLst>
            <a:latin typeface="Centaur" panose="02030504050205020304" pitchFamily="18" charset="0"/>
            <a:cs typeface="Cascadia Code Light" panose="020B0609020000020004" pitchFamily="49" charset="0"/>
          </a:endParaRPr>
        </a:p>
      </xdr:txBody>
    </xdr:sp>
    <xdr:clientData/>
  </xdr:oneCellAnchor>
  <xdr:twoCellAnchor>
    <xdr:from>
      <xdr:col>4</xdr:col>
      <xdr:colOff>737152</xdr:colOff>
      <xdr:row>2</xdr:row>
      <xdr:rowOff>235129</xdr:rowOff>
    </xdr:from>
    <xdr:to>
      <xdr:col>7</xdr:col>
      <xdr:colOff>33131</xdr:colOff>
      <xdr:row>6</xdr:row>
      <xdr:rowOff>157175</xdr:rowOff>
    </xdr:to>
    <xdr:sp macro="" textlink="">
      <xdr:nvSpPr>
        <xdr:cNvPr id="9" name="Rectangle: Rounded Corners 8">
          <a:extLst>
            <a:ext uri="{FF2B5EF4-FFF2-40B4-BE49-F238E27FC236}">
              <a16:creationId xmlns:a16="http://schemas.microsoft.com/office/drawing/2014/main" id="{3A6723EE-2A19-CEBB-1917-7B5DB13A4112}"/>
            </a:ext>
          </a:extLst>
        </xdr:cNvPr>
        <xdr:cNvSpPr/>
      </xdr:nvSpPr>
      <xdr:spPr>
        <a:xfrm>
          <a:off x="4098917" y="705776"/>
          <a:ext cx="1817302" cy="863340"/>
        </a:xfrm>
        <a:prstGeom prst="roundRect">
          <a:avLst/>
        </a:prstGeom>
        <a:solidFill>
          <a:srgbClr val="4D4D4D"/>
        </a:solidFill>
        <a:ln>
          <a:headEnd type="none" w="med" len="med"/>
          <a:tailEnd type="none" w="med" len="med"/>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475422</xdr:colOff>
      <xdr:row>2</xdr:row>
      <xdr:rowOff>235129</xdr:rowOff>
    </xdr:from>
    <xdr:to>
      <xdr:col>9</xdr:col>
      <xdr:colOff>607944</xdr:colOff>
      <xdr:row>6</xdr:row>
      <xdr:rowOff>157175</xdr:rowOff>
    </xdr:to>
    <xdr:sp macro="" textlink="">
      <xdr:nvSpPr>
        <xdr:cNvPr id="10" name="Rectangle: Rounded Corners 9">
          <a:extLst>
            <a:ext uri="{FF2B5EF4-FFF2-40B4-BE49-F238E27FC236}">
              <a16:creationId xmlns:a16="http://schemas.microsoft.com/office/drawing/2014/main" id="{FE10106F-0179-15E5-D771-1E1DDB5D987E}"/>
            </a:ext>
          </a:extLst>
        </xdr:cNvPr>
        <xdr:cNvSpPr/>
      </xdr:nvSpPr>
      <xdr:spPr>
        <a:xfrm>
          <a:off x="6358510" y="705776"/>
          <a:ext cx="1813405" cy="863340"/>
        </a:xfrm>
        <a:prstGeom prst="roundRect">
          <a:avLst/>
        </a:prstGeom>
        <a:solidFill>
          <a:srgbClr val="4D4D4D"/>
        </a:solidFill>
        <a:ln>
          <a:headEnd type="none" w="med" len="med"/>
          <a:tailEnd type="none" w="med" len="med"/>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371060</xdr:colOff>
      <xdr:row>2</xdr:row>
      <xdr:rowOff>235129</xdr:rowOff>
    </xdr:from>
    <xdr:to>
      <xdr:col>12</xdr:col>
      <xdr:colOff>503582</xdr:colOff>
      <xdr:row>6</xdr:row>
      <xdr:rowOff>157175</xdr:rowOff>
    </xdr:to>
    <xdr:sp macro="" textlink="">
      <xdr:nvSpPr>
        <xdr:cNvPr id="11" name="Rectangle: Rounded Corners 10">
          <a:extLst>
            <a:ext uri="{FF2B5EF4-FFF2-40B4-BE49-F238E27FC236}">
              <a16:creationId xmlns:a16="http://schemas.microsoft.com/office/drawing/2014/main" id="{78ACE44A-E008-A062-DAA0-C34B5C17901A}"/>
            </a:ext>
          </a:extLst>
        </xdr:cNvPr>
        <xdr:cNvSpPr/>
      </xdr:nvSpPr>
      <xdr:spPr>
        <a:xfrm>
          <a:off x="8775472" y="705776"/>
          <a:ext cx="1813404" cy="863340"/>
        </a:xfrm>
        <a:prstGeom prst="roundRect">
          <a:avLst/>
        </a:prstGeom>
        <a:solidFill>
          <a:srgbClr val="4D4D4D"/>
        </a:solidFill>
        <a:ln>
          <a:headEnd type="none" w="med" len="med"/>
          <a:tailEnd type="none" w="med" len="med"/>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380998</xdr:colOff>
      <xdr:row>5</xdr:row>
      <xdr:rowOff>15788</xdr:rowOff>
    </xdr:from>
    <xdr:to>
      <xdr:col>6</xdr:col>
      <xdr:colOff>803411</xdr:colOff>
      <xdr:row>6</xdr:row>
      <xdr:rowOff>148308</xdr:rowOff>
    </xdr:to>
    <xdr:sp macro="" textlink="Analysis!A10">
      <xdr:nvSpPr>
        <xdr:cNvPr id="12" name="TextBox 11">
          <a:extLst>
            <a:ext uri="{FF2B5EF4-FFF2-40B4-BE49-F238E27FC236}">
              <a16:creationId xmlns:a16="http://schemas.microsoft.com/office/drawing/2014/main" id="{4740EA05-3154-877B-B967-B8BA8C3D879C}"/>
            </a:ext>
          </a:extLst>
        </xdr:cNvPr>
        <xdr:cNvSpPr txBox="1"/>
      </xdr:nvSpPr>
      <xdr:spPr>
        <a:xfrm>
          <a:off x="4563715" y="1216766"/>
          <a:ext cx="1258957" cy="372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AE9B27A-6730-432E-B059-FEC873675737}" type="TxLink">
            <a:rPr lang="en-US" sz="2000" b="1" i="0" u="none" strike="noStrike">
              <a:solidFill>
                <a:schemeClr val="bg1"/>
              </a:solidFill>
              <a:latin typeface="Aptos Narrow"/>
            </a:rPr>
            <a:pPr algn="ctr"/>
            <a:t>500</a:t>
          </a:fld>
          <a:endParaRPr lang="en-US" sz="1600" b="1">
            <a:solidFill>
              <a:schemeClr val="bg1"/>
            </a:solidFill>
          </a:endParaRPr>
        </a:p>
      </xdr:txBody>
    </xdr:sp>
    <xdr:clientData/>
  </xdr:twoCellAnchor>
  <xdr:twoCellAnchor>
    <xdr:from>
      <xdr:col>11</xdr:col>
      <xdr:colOff>124234</xdr:colOff>
      <xdr:row>5</xdr:row>
      <xdr:rowOff>15788</xdr:rowOff>
    </xdr:from>
    <xdr:to>
      <xdr:col>12</xdr:col>
      <xdr:colOff>293197</xdr:colOff>
      <xdr:row>6</xdr:row>
      <xdr:rowOff>148308</xdr:rowOff>
    </xdr:to>
    <xdr:sp macro="" textlink="Analysis!A20">
      <xdr:nvSpPr>
        <xdr:cNvPr id="13" name="TextBox 12">
          <a:extLst>
            <a:ext uri="{FF2B5EF4-FFF2-40B4-BE49-F238E27FC236}">
              <a16:creationId xmlns:a16="http://schemas.microsoft.com/office/drawing/2014/main" id="{84CDBD35-D3B7-319E-CAF8-E0B90AC00629}"/>
            </a:ext>
          </a:extLst>
        </xdr:cNvPr>
        <xdr:cNvSpPr txBox="1"/>
      </xdr:nvSpPr>
      <xdr:spPr>
        <a:xfrm>
          <a:off x="9369087" y="1192406"/>
          <a:ext cx="1009404" cy="367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86ACBC8-5DC8-4FF9-B980-712A62E241B7}" type="TxLink">
            <a:rPr lang="en-US" sz="2000" b="1" i="0" u="none" strike="noStrike">
              <a:solidFill>
                <a:schemeClr val="bg1"/>
              </a:solidFill>
              <a:latin typeface="Aptos Narrow"/>
              <a:ea typeface="+mn-ea"/>
              <a:cs typeface="+mn-cs"/>
            </a:rPr>
            <a:pPr marL="0" indent="0" algn="ctr"/>
            <a:t>7</a:t>
          </a:fld>
          <a:endParaRPr lang="en-US" sz="2000" b="1" i="0" u="none" strike="noStrike">
            <a:solidFill>
              <a:schemeClr val="bg1"/>
            </a:solidFill>
            <a:latin typeface="Aptos Narrow"/>
            <a:ea typeface="+mn-ea"/>
            <a:cs typeface="+mn-cs"/>
          </a:endParaRPr>
        </a:p>
      </xdr:txBody>
    </xdr:sp>
    <xdr:clientData/>
  </xdr:twoCellAnchor>
  <xdr:twoCellAnchor>
    <xdr:from>
      <xdr:col>8</xdr:col>
      <xdr:colOff>72882</xdr:colOff>
      <xdr:row>5</xdr:row>
      <xdr:rowOff>15788</xdr:rowOff>
    </xdr:from>
    <xdr:to>
      <xdr:col>9</xdr:col>
      <xdr:colOff>495296</xdr:colOff>
      <xdr:row>6</xdr:row>
      <xdr:rowOff>148308</xdr:rowOff>
    </xdr:to>
    <xdr:sp macro="" textlink="Analysis!A15">
      <xdr:nvSpPr>
        <xdr:cNvPr id="14" name="TextBox 13">
          <a:extLst>
            <a:ext uri="{FF2B5EF4-FFF2-40B4-BE49-F238E27FC236}">
              <a16:creationId xmlns:a16="http://schemas.microsoft.com/office/drawing/2014/main" id="{B9232D2D-D8E4-1131-7C10-0F68135C216C}"/>
            </a:ext>
          </a:extLst>
        </xdr:cNvPr>
        <xdr:cNvSpPr txBox="1"/>
      </xdr:nvSpPr>
      <xdr:spPr>
        <a:xfrm>
          <a:off x="6765230" y="1216766"/>
          <a:ext cx="1258957" cy="372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07DBE8C-9101-4DFE-B576-8B80658F95E9}" type="TxLink">
            <a:rPr lang="en-US" sz="2000" b="1" i="0" u="none" strike="noStrike">
              <a:solidFill>
                <a:schemeClr val="bg1"/>
              </a:solidFill>
              <a:latin typeface="Aptos Narrow"/>
              <a:ea typeface="+mn-ea"/>
              <a:cs typeface="+mn-cs"/>
            </a:rPr>
            <a:pPr marL="0" indent="0" algn="ctr"/>
            <a:t>7</a:t>
          </a:fld>
          <a:endParaRPr lang="en-US" sz="2000" b="1" i="0" u="none" strike="noStrike">
            <a:solidFill>
              <a:schemeClr val="bg1"/>
            </a:solidFill>
            <a:latin typeface="Aptos Narrow"/>
            <a:ea typeface="+mn-ea"/>
            <a:cs typeface="+mn-cs"/>
          </a:endParaRPr>
        </a:p>
      </xdr:txBody>
    </xdr:sp>
    <xdr:clientData/>
  </xdr:twoCellAnchor>
  <xdr:twoCellAnchor editAs="oneCell">
    <xdr:from>
      <xdr:col>7</xdr:col>
      <xdr:colOff>524725</xdr:colOff>
      <xdr:row>4</xdr:row>
      <xdr:rowOff>57647</xdr:rowOff>
    </xdr:from>
    <xdr:to>
      <xdr:col>8</xdr:col>
      <xdr:colOff>236821</xdr:colOff>
      <xdr:row>6</xdr:row>
      <xdr:rowOff>125896</xdr:rowOff>
    </xdr:to>
    <xdr:pic>
      <xdr:nvPicPr>
        <xdr:cNvPr id="16" name="Picture 15">
          <a:extLst>
            <a:ext uri="{FF2B5EF4-FFF2-40B4-BE49-F238E27FC236}">
              <a16:creationId xmlns:a16="http://schemas.microsoft.com/office/drawing/2014/main" id="{D5692D57-F753-3EED-C6D9-60429EA1274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407813" y="998941"/>
          <a:ext cx="552537" cy="538896"/>
        </a:xfrm>
        <a:prstGeom prst="rect">
          <a:avLst/>
        </a:prstGeom>
      </xdr:spPr>
    </xdr:pic>
    <xdr:clientData/>
  </xdr:twoCellAnchor>
  <xdr:twoCellAnchor editAs="oneCell">
    <xdr:from>
      <xdr:col>10</xdr:col>
      <xdr:colOff>406758</xdr:colOff>
      <xdr:row>4</xdr:row>
      <xdr:rowOff>80059</xdr:rowOff>
    </xdr:from>
    <xdr:to>
      <xdr:col>11</xdr:col>
      <xdr:colOff>118855</xdr:colOff>
      <xdr:row>6</xdr:row>
      <xdr:rowOff>148308</xdr:rowOff>
    </xdr:to>
    <xdr:pic>
      <xdr:nvPicPr>
        <xdr:cNvPr id="18" name="Picture 17">
          <a:extLst>
            <a:ext uri="{FF2B5EF4-FFF2-40B4-BE49-F238E27FC236}">
              <a16:creationId xmlns:a16="http://schemas.microsoft.com/office/drawing/2014/main" id="{AF609771-B6A6-0629-4217-676937A5D55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811170" y="1021353"/>
          <a:ext cx="552538" cy="538896"/>
        </a:xfrm>
        <a:prstGeom prst="rect">
          <a:avLst/>
        </a:prstGeom>
      </xdr:spPr>
    </xdr:pic>
    <xdr:clientData/>
  </xdr:twoCellAnchor>
  <xdr:twoCellAnchor editAs="oneCell">
    <xdr:from>
      <xdr:col>4</xdr:col>
      <xdr:colOff>780390</xdr:colOff>
      <xdr:row>4</xdr:row>
      <xdr:rowOff>80059</xdr:rowOff>
    </xdr:from>
    <xdr:to>
      <xdr:col>5</xdr:col>
      <xdr:colOff>492487</xdr:colOff>
      <xdr:row>6</xdr:row>
      <xdr:rowOff>148308</xdr:rowOff>
    </xdr:to>
    <xdr:pic>
      <xdr:nvPicPr>
        <xdr:cNvPr id="20" name="Picture 19">
          <a:extLst>
            <a:ext uri="{FF2B5EF4-FFF2-40B4-BE49-F238E27FC236}">
              <a16:creationId xmlns:a16="http://schemas.microsoft.com/office/drawing/2014/main" id="{AEB07CAB-036C-FA49-770D-6A082D85367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142155" y="1021353"/>
          <a:ext cx="552538" cy="538896"/>
        </a:xfrm>
        <a:prstGeom prst="rect">
          <a:avLst/>
        </a:prstGeom>
      </xdr:spPr>
    </xdr:pic>
    <xdr:clientData/>
  </xdr:twoCellAnchor>
  <xdr:twoCellAnchor>
    <xdr:from>
      <xdr:col>11</xdr:col>
      <xdr:colOff>8287</xdr:colOff>
      <xdr:row>3</xdr:row>
      <xdr:rowOff>28645</xdr:rowOff>
    </xdr:from>
    <xdr:to>
      <xdr:col>12</xdr:col>
      <xdr:colOff>480394</xdr:colOff>
      <xdr:row>4</xdr:row>
      <xdr:rowOff>94904</xdr:rowOff>
    </xdr:to>
    <xdr:sp macro="" textlink="">
      <xdr:nvSpPr>
        <xdr:cNvPr id="22" name="TextBox 21">
          <a:extLst>
            <a:ext uri="{FF2B5EF4-FFF2-40B4-BE49-F238E27FC236}">
              <a16:creationId xmlns:a16="http://schemas.microsoft.com/office/drawing/2014/main" id="{1B6B092D-DB0A-FE45-C3FA-D46B4FE4069A}"/>
            </a:ext>
          </a:extLst>
        </xdr:cNvPr>
        <xdr:cNvSpPr txBox="1"/>
      </xdr:nvSpPr>
      <xdr:spPr>
        <a:xfrm>
          <a:off x="9253140" y="734616"/>
          <a:ext cx="1312548" cy="301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dk1"/>
              </a:solidFill>
              <a:latin typeface="+mn-lt"/>
              <a:ea typeface="+mn-ea"/>
              <a:cs typeface="+mn-cs"/>
            </a:rPr>
            <a:t>Departments</a:t>
          </a:r>
        </a:p>
        <a:p>
          <a:endParaRPr lang="en-US" sz="1100"/>
        </a:p>
      </xdr:txBody>
    </xdr:sp>
    <xdr:clientData/>
  </xdr:twoCellAnchor>
  <xdr:twoCellAnchor>
    <xdr:from>
      <xdr:col>5</xdr:col>
      <xdr:colOff>483714</xdr:colOff>
      <xdr:row>3</xdr:row>
      <xdr:rowOff>28645</xdr:rowOff>
    </xdr:from>
    <xdr:to>
      <xdr:col>7</xdr:col>
      <xdr:colOff>49698</xdr:colOff>
      <xdr:row>4</xdr:row>
      <xdr:rowOff>94904</xdr:rowOff>
    </xdr:to>
    <xdr:sp macro="" textlink="">
      <xdr:nvSpPr>
        <xdr:cNvPr id="23" name="TextBox 22">
          <a:extLst>
            <a:ext uri="{FF2B5EF4-FFF2-40B4-BE49-F238E27FC236}">
              <a16:creationId xmlns:a16="http://schemas.microsoft.com/office/drawing/2014/main" id="{8BB55C50-EEF8-CF4C-2CFB-91A8CF1736C3}"/>
            </a:ext>
          </a:extLst>
        </xdr:cNvPr>
        <xdr:cNvSpPr txBox="1"/>
      </xdr:nvSpPr>
      <xdr:spPr>
        <a:xfrm>
          <a:off x="4685920" y="734616"/>
          <a:ext cx="1246866" cy="301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dk1"/>
              </a:solidFill>
              <a:latin typeface="+mn-lt"/>
              <a:ea typeface="+mn-ea"/>
              <a:cs typeface="+mn-cs"/>
            </a:rPr>
            <a:t>Employees</a:t>
          </a:r>
        </a:p>
      </xdr:txBody>
    </xdr:sp>
    <xdr:clientData/>
  </xdr:twoCellAnchor>
  <xdr:twoCellAnchor>
    <xdr:from>
      <xdr:col>8</xdr:col>
      <xdr:colOff>188844</xdr:colOff>
      <xdr:row>3</xdr:row>
      <xdr:rowOff>28645</xdr:rowOff>
    </xdr:from>
    <xdr:to>
      <xdr:col>9</xdr:col>
      <xdr:colOff>430694</xdr:colOff>
      <xdr:row>4</xdr:row>
      <xdr:rowOff>94904</xdr:rowOff>
    </xdr:to>
    <xdr:sp macro="" textlink="">
      <xdr:nvSpPr>
        <xdr:cNvPr id="24" name="TextBox 23">
          <a:extLst>
            <a:ext uri="{FF2B5EF4-FFF2-40B4-BE49-F238E27FC236}">
              <a16:creationId xmlns:a16="http://schemas.microsoft.com/office/drawing/2014/main" id="{887F64A7-8039-E650-1B94-8F10A8981815}"/>
            </a:ext>
          </a:extLst>
        </xdr:cNvPr>
        <xdr:cNvSpPr txBox="1"/>
      </xdr:nvSpPr>
      <xdr:spPr>
        <a:xfrm>
          <a:off x="6912373" y="734616"/>
          <a:ext cx="1082292" cy="301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dk1"/>
              </a:solidFill>
              <a:latin typeface="+mn-lt"/>
              <a:ea typeface="+mn-ea"/>
              <a:cs typeface="+mn-cs"/>
            </a:rPr>
            <a:t>Locations</a:t>
          </a:r>
        </a:p>
        <a:p>
          <a:endParaRPr lang="en-US" sz="1100" b="1"/>
        </a:p>
        <a:p>
          <a:endParaRPr lang="en-US" sz="1100"/>
        </a:p>
      </xdr:txBody>
    </xdr:sp>
    <xdr:clientData/>
  </xdr:twoCellAnchor>
  <xdr:twoCellAnchor editAs="oneCell">
    <xdr:from>
      <xdr:col>17</xdr:col>
      <xdr:colOff>169963</xdr:colOff>
      <xdr:row>1</xdr:row>
      <xdr:rowOff>170929</xdr:rowOff>
    </xdr:from>
    <xdr:to>
      <xdr:col>23</xdr:col>
      <xdr:colOff>758086</xdr:colOff>
      <xdr:row>14</xdr:row>
      <xdr:rowOff>190503</xdr:rowOff>
    </xdr:to>
    <mc:AlternateContent xmlns:mc="http://schemas.openxmlformats.org/markup-compatibility/2006">
      <mc:Choice xmlns:a14="http://schemas.microsoft.com/office/drawing/2010/main" Requires="a14">
        <xdr:graphicFrame macro="">
          <xdr:nvGraphicFramePr>
            <xdr:cNvPr id="25" name="Job Title">
              <a:extLst>
                <a:ext uri="{FF2B5EF4-FFF2-40B4-BE49-F238E27FC236}">
                  <a16:creationId xmlns:a16="http://schemas.microsoft.com/office/drawing/2014/main" id="{F2137282-A83C-48A6-93DD-56426475E4A1}"/>
                </a:ext>
              </a:extLst>
            </xdr:cNvPr>
            <xdr:cNvGraphicFramePr/>
          </xdr:nvGraphicFramePr>
          <xdr:xfrm>
            <a:off x="0" y="0"/>
            <a:ext cx="0" cy="0"/>
          </xdr:xfrm>
          <a:graphic>
            <a:graphicData uri="http://schemas.microsoft.com/office/drawing/2010/slicer">
              <sle:slicer xmlns:sle="http://schemas.microsoft.com/office/drawing/2010/slicer" name="Job Title"/>
            </a:graphicData>
          </a:graphic>
        </xdr:graphicFrame>
      </mc:Choice>
      <mc:Fallback>
        <xdr:sp macro="" textlink="">
          <xdr:nvSpPr>
            <xdr:cNvPr id="0" name=""/>
            <xdr:cNvSpPr>
              <a:spLocks noTextEdit="1"/>
            </xdr:cNvSpPr>
          </xdr:nvSpPr>
          <xdr:spPr>
            <a:xfrm>
              <a:off x="14457463" y="406253"/>
              <a:ext cx="5630770" cy="30787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181645</xdr:colOff>
      <xdr:row>22</xdr:row>
      <xdr:rowOff>224630</xdr:rowOff>
    </xdr:from>
    <xdr:to>
      <xdr:col>23</xdr:col>
      <xdr:colOff>756906</xdr:colOff>
      <xdr:row>31</xdr:row>
      <xdr:rowOff>11210</xdr:rowOff>
    </xdr:to>
    <mc:AlternateContent xmlns:mc="http://schemas.openxmlformats.org/markup-compatibility/2006">
      <mc:Choice xmlns:a14="http://schemas.microsoft.com/office/drawing/2010/main" Requires="a14">
        <xdr:graphicFrame macro="">
          <xdr:nvGraphicFramePr>
            <xdr:cNvPr id="26" name="Department">
              <a:extLst>
                <a:ext uri="{FF2B5EF4-FFF2-40B4-BE49-F238E27FC236}">
                  <a16:creationId xmlns:a16="http://schemas.microsoft.com/office/drawing/2014/main" id="{89FCD859-502E-44CA-851C-6BB81CF12C9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4469145" y="5401748"/>
              <a:ext cx="5617908" cy="19044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186736</xdr:colOff>
      <xdr:row>15</xdr:row>
      <xdr:rowOff>51809</xdr:rowOff>
    </xdr:from>
    <xdr:to>
      <xdr:col>23</xdr:col>
      <xdr:colOff>761997</xdr:colOff>
      <xdr:row>22</xdr:row>
      <xdr:rowOff>56033</xdr:rowOff>
    </xdr:to>
    <mc:AlternateContent xmlns:mc="http://schemas.openxmlformats.org/markup-compatibility/2006">
      <mc:Choice xmlns:a14="http://schemas.microsoft.com/office/drawing/2010/main" Requires="a14">
        <xdr:graphicFrame macro="">
          <xdr:nvGraphicFramePr>
            <xdr:cNvPr id="27" name="Job Level">
              <a:extLst>
                <a:ext uri="{FF2B5EF4-FFF2-40B4-BE49-F238E27FC236}">
                  <a16:creationId xmlns:a16="http://schemas.microsoft.com/office/drawing/2014/main" id="{7ED67A5A-4181-4EF5-A9DB-3A5F7EF4570C}"/>
                </a:ext>
              </a:extLst>
            </xdr:cNvPr>
            <xdr:cNvGraphicFramePr/>
          </xdr:nvGraphicFramePr>
          <xdr:xfrm>
            <a:off x="0" y="0"/>
            <a:ext cx="0" cy="0"/>
          </xdr:xfrm>
          <a:graphic>
            <a:graphicData uri="http://schemas.microsoft.com/office/drawing/2010/slicer">
              <sle:slicer xmlns:sle="http://schemas.microsoft.com/office/drawing/2010/slicer" name="Job Level"/>
            </a:graphicData>
          </a:graphic>
        </xdr:graphicFrame>
      </mc:Choice>
      <mc:Fallback>
        <xdr:sp macro="" textlink="">
          <xdr:nvSpPr>
            <xdr:cNvPr id="0" name=""/>
            <xdr:cNvSpPr>
              <a:spLocks noTextEdit="1"/>
            </xdr:cNvSpPr>
          </xdr:nvSpPr>
          <xdr:spPr>
            <a:xfrm>
              <a:off x="14474236" y="3581662"/>
              <a:ext cx="5617908" cy="16514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485927</xdr:colOff>
      <xdr:row>7</xdr:row>
      <xdr:rowOff>179081</xdr:rowOff>
    </xdr:from>
    <xdr:to>
      <xdr:col>17</xdr:col>
      <xdr:colOff>56029</xdr:colOff>
      <xdr:row>19</xdr:row>
      <xdr:rowOff>56028</xdr:rowOff>
    </xdr:to>
    <xdr:graphicFrame macro="">
      <xdr:nvGraphicFramePr>
        <xdr:cNvPr id="29" name="Chart 28">
          <a:extLst>
            <a:ext uri="{FF2B5EF4-FFF2-40B4-BE49-F238E27FC236}">
              <a16:creationId xmlns:a16="http://schemas.microsoft.com/office/drawing/2014/main" id="{42EE0D81-D966-4456-B62E-364A62E0E1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400195</xdr:colOff>
      <xdr:row>2</xdr:row>
      <xdr:rowOff>235129</xdr:rowOff>
    </xdr:from>
    <xdr:to>
      <xdr:col>16</xdr:col>
      <xdr:colOff>302558</xdr:colOff>
      <xdr:row>6</xdr:row>
      <xdr:rowOff>157175</xdr:rowOff>
    </xdr:to>
    <xdr:sp macro="" textlink="">
      <xdr:nvSpPr>
        <xdr:cNvPr id="30" name="Rectangle: Rounded Corners 29">
          <a:extLst>
            <a:ext uri="{FF2B5EF4-FFF2-40B4-BE49-F238E27FC236}">
              <a16:creationId xmlns:a16="http://schemas.microsoft.com/office/drawing/2014/main" id="{15AA815D-800C-ABBC-D169-E858C59669B6}"/>
            </a:ext>
          </a:extLst>
        </xdr:cNvPr>
        <xdr:cNvSpPr/>
      </xdr:nvSpPr>
      <xdr:spPr>
        <a:xfrm>
          <a:off x="11325930" y="705776"/>
          <a:ext cx="2423687" cy="863340"/>
        </a:xfrm>
        <a:prstGeom prst="roundRect">
          <a:avLst/>
        </a:prstGeom>
        <a:solidFill>
          <a:srgbClr val="4D4D4D"/>
        </a:solidFill>
        <a:ln>
          <a:headEnd type="none" w="med" len="med"/>
          <a:tailEnd type="none" w="med" len="med"/>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429629</xdr:colOff>
      <xdr:row>3</xdr:row>
      <xdr:rowOff>28645</xdr:rowOff>
    </xdr:from>
    <xdr:to>
      <xdr:col>15</xdr:col>
      <xdr:colOff>549087</xdr:colOff>
      <xdr:row>4</xdr:row>
      <xdr:rowOff>94904</xdr:rowOff>
    </xdr:to>
    <xdr:sp macro="" textlink="">
      <xdr:nvSpPr>
        <xdr:cNvPr id="31" name="TextBox 30">
          <a:extLst>
            <a:ext uri="{FF2B5EF4-FFF2-40B4-BE49-F238E27FC236}">
              <a16:creationId xmlns:a16="http://schemas.microsoft.com/office/drawing/2014/main" id="{AF6747D1-5820-7716-9E1C-5BF2F9926E28}"/>
            </a:ext>
          </a:extLst>
        </xdr:cNvPr>
        <xdr:cNvSpPr txBox="1"/>
      </xdr:nvSpPr>
      <xdr:spPr>
        <a:xfrm>
          <a:off x="12195805" y="734616"/>
          <a:ext cx="959900" cy="301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dk1"/>
              </a:solidFill>
              <a:latin typeface="+mn-lt"/>
              <a:ea typeface="+mn-ea"/>
              <a:cs typeface="+mn-cs"/>
            </a:rPr>
            <a:t>Salaries</a:t>
          </a:r>
        </a:p>
        <a:p>
          <a:endParaRPr lang="en-US" sz="1100" b="1"/>
        </a:p>
        <a:p>
          <a:endParaRPr lang="en-US" sz="1100"/>
        </a:p>
      </xdr:txBody>
    </xdr:sp>
    <xdr:clientData/>
  </xdr:twoCellAnchor>
  <xdr:twoCellAnchor editAs="oneCell">
    <xdr:from>
      <xdr:col>13</xdr:col>
      <xdr:colOff>481853</xdr:colOff>
      <xdr:row>4</xdr:row>
      <xdr:rowOff>59109</xdr:rowOff>
    </xdr:from>
    <xdr:to>
      <xdr:col>14</xdr:col>
      <xdr:colOff>190052</xdr:colOff>
      <xdr:row>6</xdr:row>
      <xdr:rowOff>137102</xdr:rowOff>
    </xdr:to>
    <xdr:pic>
      <xdr:nvPicPr>
        <xdr:cNvPr id="33" name="Picture 32">
          <a:extLst>
            <a:ext uri="{FF2B5EF4-FFF2-40B4-BE49-F238E27FC236}">
              <a16:creationId xmlns:a16="http://schemas.microsoft.com/office/drawing/2014/main" id="{0F2D5C14-94D8-1080-747F-4D0420A7D1B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1407588" y="1000403"/>
          <a:ext cx="548640" cy="548640"/>
        </a:xfrm>
        <a:prstGeom prst="rect">
          <a:avLst/>
        </a:prstGeom>
      </xdr:spPr>
    </xdr:pic>
    <xdr:clientData/>
  </xdr:twoCellAnchor>
  <xdr:twoCellAnchor>
    <xdr:from>
      <xdr:col>14</xdr:col>
      <xdr:colOff>369796</xdr:colOff>
      <xdr:row>5</xdr:row>
      <xdr:rowOff>4582</xdr:rowOff>
    </xdr:from>
    <xdr:to>
      <xdr:col>16</xdr:col>
      <xdr:colOff>210276</xdr:colOff>
      <xdr:row>6</xdr:row>
      <xdr:rowOff>137102</xdr:rowOff>
    </xdr:to>
    <xdr:sp macro="" textlink="Analysis!A5">
      <xdr:nvSpPr>
        <xdr:cNvPr id="34" name="TextBox 33">
          <a:extLst>
            <a:ext uri="{FF2B5EF4-FFF2-40B4-BE49-F238E27FC236}">
              <a16:creationId xmlns:a16="http://schemas.microsoft.com/office/drawing/2014/main" id="{54BB3E39-A595-D11E-0936-C3B86AE64D7E}"/>
            </a:ext>
          </a:extLst>
        </xdr:cNvPr>
        <xdr:cNvSpPr txBox="1"/>
      </xdr:nvSpPr>
      <xdr:spPr>
        <a:xfrm>
          <a:off x="12135972" y="1181200"/>
          <a:ext cx="1521363" cy="367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8079353-5A30-4AB4-9741-22717F0E1D20}" type="TxLink">
            <a:rPr lang="en-US" sz="2000" b="1" i="0" u="none" strike="noStrike">
              <a:solidFill>
                <a:schemeClr val="bg1"/>
              </a:solidFill>
              <a:latin typeface="Aptos Narrow"/>
              <a:ea typeface="+mn-ea"/>
              <a:cs typeface="+mn-cs"/>
            </a:rPr>
            <a:pPr marL="0" indent="0" algn="ctr"/>
            <a:t>$4,962,657</a:t>
          </a:fld>
          <a:endParaRPr lang="en-US" sz="2000" b="1" i="0" u="none" strike="noStrike">
            <a:solidFill>
              <a:schemeClr val="bg1"/>
            </a:solidFill>
            <a:latin typeface="Aptos Narrow"/>
            <a:ea typeface="+mn-ea"/>
            <a:cs typeface="+mn-cs"/>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osny" refreshedDate="46038.005904861115" backgroundQuery="1" createdVersion="8" refreshedVersion="8" minRefreshableVersion="3" recordCount="0" supportSubquery="1" supportAdvancedDrill="1" xr:uid="{235B50F8-F751-48BD-A992-99C4BD0BEF68}">
  <cacheSource type="external" connectionId="3"/>
  <cacheFields count="4">
    <cacheField name="[Measures].[Salaries]" caption="Salaries" numFmtId="0" hierarchy="22" level="32767"/>
    <cacheField name="[Hr Salary].[Job Title].[Job Title]" caption="Job Title" numFmtId="0" hierarchy="2" level="1">
      <sharedItems containsSemiMixedTypes="0" containsNonDate="0" containsString="0"/>
    </cacheField>
    <cacheField name="[Hr Salary].[Department].[Department]" caption="Department" numFmtId="0" hierarchy="1" level="1">
      <sharedItems containsSemiMixedTypes="0" containsNonDate="0" containsString="0"/>
    </cacheField>
    <cacheField name="[Job Class].[Job Level].[Job Level]" caption="Job Level" numFmtId="0" hierarchy="9" level="1">
      <sharedItems containsSemiMixedTypes="0" containsNonDate="0" containsString="0"/>
    </cacheField>
  </cacheFields>
  <cacheHierarchies count="27">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fieldsUsage count="2">
        <fieldUsage x="-1"/>
        <fieldUsage x="2"/>
      </fieldsUsage>
    </cacheHierarchy>
    <cacheHierarchy uniqueName="[Hr Salary].[Job Title]" caption="Job Title" attribute="1" defaultMemberUniqueName="[Hr Salary].[Job Title].[All]" allUniqueName="[Hr Salary].[Job Title].[All]" dimensionUniqueName="[Hr Salary]" displayFolder="" count="2" memberValueDatatype="130" unbalanced="0">
      <fieldsUsage count="2">
        <fieldUsage x="-1"/>
        <fieldUsage x="1"/>
      </fieldsUsage>
    </cacheHierarchy>
    <cacheHierarchy uniqueName="[Hr Salary].[Gender]" caption="Gender" attribute="1" defaultMemberUniqueName="[Hr Salary].[Gender].[All]" allUniqueName="[Hr Salary].[Gender].[All]" dimensionUniqueName="[Hr Salary]" displayFolder="" count="0" memberValueDatatype="13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 Salary].[Modified Salary]" caption="Modified Salary" attribute="1" defaultMemberUniqueName="[Hr Salary].[Modified Salary].[All]" allUniqueName="[Hr Salary].[Modified Salary].[All]" dimensionUniqueName="[Hr Salary]" displayFolder="" count="0" memberValueDatatype="5"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fieldsUsage count="2">
        <fieldUsage x="-1"/>
        <fieldUsage x="3"/>
      </fieldsUsage>
    </cacheHierarchy>
    <cacheHierarchy uniqueName="[Hr Salary].[Age]" caption="Age" attribute="1" defaultMemberUniqueName="[Hr Salary].[Age].[All]" allUniqueName="[Hr Salary].[Age].[All]" dimensionUniqueName="[Hr Salary]" displayFolder="" count="0" memberValueDatatype="20" unbalanced="0" hidden="1"/>
    <cacheHierarchy uniqueName="[Hr Salary].[Employee ID]" caption="Employee ID" attribute="1" defaultMemberUniqueName="[Hr Salary].[Employee ID].[All]" allUniqueName="[Hr Salary].[Employee ID].[All]" dimensionUniqueName="[Hr Salary]" displayFolder="" count="0" memberValueDatatype="130" unbalanced="0" hidden="1"/>
    <cacheHierarchy uniqueName="[Hr Salary].[Outlier]" caption="Outlier" attribute="1" defaultMemberUniqueName="[Hr Salary].[Outlier].[All]" allUniqueName="[Hr Salary].[Outlier].[All]" dimensionUniqueName="[Hr Salary]" displayFolder="" count="0" memberValueDatatype="130" unbalanced="0" hidden="1"/>
    <cacheHierarchy uniqueName="[Hr Salary].[Salary]" caption="Salary" attribute="1" defaultMemberUniqueName="[Hr Salary].[Salary].[All]" allUniqueName="[Hr Salary].[Salary].[All]" dimensionUniqueName="[Hr Salary]" displayFolder="" count="0" memberValueDatatype="20" unbalanced="0" hidden="1"/>
    <cacheHierarchy uniqueName="[Measures].[Sum of Experience (Years)]" caption="Sum of Experience (Years)" measure="1" displayFolder="" measureGroup="Hr Salary" count="0">
      <extLst>
        <ext xmlns:x15="http://schemas.microsoft.com/office/spreadsheetml/2010/11/main" uri="{B97F6D7D-B522-45F9-BDA1-12C45D357490}">
          <x15:cacheHierarchy aggregatedColumn="4"/>
        </ext>
      </extLst>
    </cacheHierarchy>
    <cacheHierarchy uniqueName="[Measures].[Count of Job Title]" caption="Count of Job Title" measure="1" displayFolder="" measureGroup="Hr Salary" count="0">
      <extLst>
        <ext xmlns:x15="http://schemas.microsoft.com/office/spreadsheetml/2010/11/main" uri="{B97F6D7D-B522-45F9-BDA1-12C45D357490}">
          <x15:cacheHierarchy aggregatedColumn="2"/>
        </ext>
      </extLst>
    </cacheHierarchy>
    <cacheHierarchy uniqueName="[Measures].[Count of Gender]" caption="Count of Gender" measure="1" displayFolder="" measureGroup="Hr Salary" count="0">
      <extLst>
        <ext xmlns:x15="http://schemas.microsoft.com/office/spreadsheetml/2010/11/main" uri="{B97F6D7D-B522-45F9-BDA1-12C45D357490}">
          <x15:cacheHierarchy aggregatedColumn="3"/>
        </ext>
      </extLst>
    </cacheHierarchy>
    <cacheHierarchy uniqueName="[Measures].[Average of Experience (Years)]" caption="Average of Experience (Years)" measure="1" displayFolder="" measureGroup="Hr Salary" count="0">
      <extLst>
        <ext xmlns:x15="http://schemas.microsoft.com/office/spreadsheetml/2010/11/main" uri="{B97F6D7D-B522-45F9-BDA1-12C45D357490}">
          <x15:cacheHierarchy aggregatedColumn="4"/>
        </ext>
      </extLst>
    </cacheHierarchy>
    <cacheHierarchy uniqueName="[Measures].[Min of Experience (Years)]" caption="Min of Experience (Years)" measure="1" displayFolder="" measureGroup="Hr Salary" count="0">
      <extLst>
        <ext xmlns:x15="http://schemas.microsoft.com/office/spreadsheetml/2010/11/main" uri="{B97F6D7D-B522-45F9-BDA1-12C45D357490}">
          <x15:cacheHierarchy aggregatedColumn="4"/>
        </ext>
      </extLst>
    </cacheHierarchy>
    <cacheHierarchy uniqueName="[Measures].[Employees]" caption="Employees" measure="1" displayFolder="" measureGroup="Hr Salary" count="0"/>
    <cacheHierarchy uniqueName="[Measures].[Departments]" caption="Departments" measure="1" displayFolder="" measureGroup="Hr Salary" count="0"/>
    <cacheHierarchy uniqueName="[Measures].[Locations]" caption="Locations" measure="1" displayFolder="" measureGroup="Hr Salary" count="0"/>
    <cacheHierarchy uniqueName="[Measures].[Salaries]" caption="Salaries" measure="1" displayFolder="" measureGroup="Hr Salary" count="0" oneField="1">
      <fieldsUsage count="1">
        <fieldUsage x="0"/>
      </fieldsUsage>
    </cacheHierarchy>
    <cacheHierarchy uniqueName="[Measures].[Avg_Salary]" caption="Avg_Salary" measure="1" displayFolder="" measureGroup="Hr Salary" count="0"/>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osny" refreshedDate="46038.005906018516" backgroundQuery="1" createdVersion="8" refreshedVersion="8" minRefreshableVersion="3" recordCount="0" supportSubquery="1" supportAdvancedDrill="1" xr:uid="{67947444-8928-4292-B06F-A11010254498}">
  <cacheSource type="external" connectionId="3"/>
  <cacheFields count="4">
    <cacheField name="[Measures].[Employees]" caption="Employees" numFmtId="0" hierarchy="19" level="32767"/>
    <cacheField name="[Hr Salary].[Job Title].[Job Title]" caption="Job Title" numFmtId="0" hierarchy="2" level="1">
      <sharedItems containsSemiMixedTypes="0" containsNonDate="0" containsString="0"/>
    </cacheField>
    <cacheField name="[Hr Salary].[Department].[Department]" caption="Department" numFmtId="0" hierarchy="1" level="1">
      <sharedItems containsSemiMixedTypes="0" containsNonDate="0" containsString="0"/>
    </cacheField>
    <cacheField name="[Job Class].[Job Level].[Job Level]" caption="Job Level" numFmtId="0" hierarchy="9" level="1">
      <sharedItems containsSemiMixedTypes="0" containsNonDate="0" containsString="0"/>
    </cacheField>
  </cacheFields>
  <cacheHierarchies count="27">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fieldsUsage count="2">
        <fieldUsage x="-1"/>
        <fieldUsage x="2"/>
      </fieldsUsage>
    </cacheHierarchy>
    <cacheHierarchy uniqueName="[Hr Salary].[Job Title]" caption="Job Title" attribute="1" defaultMemberUniqueName="[Hr Salary].[Job Title].[All]" allUniqueName="[Hr Salary].[Job Title].[All]" dimensionUniqueName="[Hr Salary]" displayFolder="" count="2" memberValueDatatype="130" unbalanced="0">
      <fieldsUsage count="2">
        <fieldUsage x="-1"/>
        <fieldUsage x="1"/>
      </fieldsUsage>
    </cacheHierarchy>
    <cacheHierarchy uniqueName="[Hr Salary].[Gender]" caption="Gender" attribute="1" defaultMemberUniqueName="[Hr Salary].[Gender].[All]" allUniqueName="[Hr Salary].[Gender].[All]" dimensionUniqueName="[Hr Salary]" displayFolder="" count="0" memberValueDatatype="13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 Salary].[Modified Salary]" caption="Modified Salary" attribute="1" defaultMemberUniqueName="[Hr Salary].[Modified Salary].[All]" allUniqueName="[Hr Salary].[Modified Salary].[All]" dimensionUniqueName="[Hr Salary]" displayFolder="" count="0" memberValueDatatype="5"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fieldsUsage count="2">
        <fieldUsage x="-1"/>
        <fieldUsage x="3"/>
      </fieldsUsage>
    </cacheHierarchy>
    <cacheHierarchy uniqueName="[Hr Salary].[Age]" caption="Age" attribute="1" defaultMemberUniqueName="[Hr Salary].[Age].[All]" allUniqueName="[Hr Salary].[Age].[All]" dimensionUniqueName="[Hr Salary]" displayFolder="" count="0" memberValueDatatype="20" unbalanced="0" hidden="1"/>
    <cacheHierarchy uniqueName="[Hr Salary].[Employee ID]" caption="Employee ID" attribute="1" defaultMemberUniqueName="[Hr Salary].[Employee ID].[All]" allUniqueName="[Hr Salary].[Employee ID].[All]" dimensionUniqueName="[Hr Salary]" displayFolder="" count="0" memberValueDatatype="130" unbalanced="0" hidden="1"/>
    <cacheHierarchy uniqueName="[Hr Salary].[Outlier]" caption="Outlier" attribute="1" defaultMemberUniqueName="[Hr Salary].[Outlier].[All]" allUniqueName="[Hr Salary].[Outlier].[All]" dimensionUniqueName="[Hr Salary]" displayFolder="" count="0" memberValueDatatype="130" unbalanced="0" hidden="1"/>
    <cacheHierarchy uniqueName="[Hr Salary].[Salary]" caption="Salary" attribute="1" defaultMemberUniqueName="[Hr Salary].[Salary].[All]" allUniqueName="[Hr Salary].[Salary].[All]" dimensionUniqueName="[Hr Salary]" displayFolder="" count="0" memberValueDatatype="20" unbalanced="0" hidden="1"/>
    <cacheHierarchy uniqueName="[Measures].[Sum of Experience (Years)]" caption="Sum of Experience (Years)" measure="1" displayFolder="" measureGroup="Hr Salary" count="0">
      <extLst>
        <ext xmlns:x15="http://schemas.microsoft.com/office/spreadsheetml/2010/11/main" uri="{B97F6D7D-B522-45F9-BDA1-12C45D357490}">
          <x15:cacheHierarchy aggregatedColumn="4"/>
        </ext>
      </extLst>
    </cacheHierarchy>
    <cacheHierarchy uniqueName="[Measures].[Count of Job Title]" caption="Count of Job Title" measure="1" displayFolder="" measureGroup="Hr Salary" count="0">
      <extLst>
        <ext xmlns:x15="http://schemas.microsoft.com/office/spreadsheetml/2010/11/main" uri="{B97F6D7D-B522-45F9-BDA1-12C45D357490}">
          <x15:cacheHierarchy aggregatedColumn="2"/>
        </ext>
      </extLst>
    </cacheHierarchy>
    <cacheHierarchy uniqueName="[Measures].[Count of Gender]" caption="Count of Gender" measure="1" displayFolder="" measureGroup="Hr Salary" count="0">
      <extLst>
        <ext xmlns:x15="http://schemas.microsoft.com/office/spreadsheetml/2010/11/main" uri="{B97F6D7D-B522-45F9-BDA1-12C45D357490}">
          <x15:cacheHierarchy aggregatedColumn="3"/>
        </ext>
      </extLst>
    </cacheHierarchy>
    <cacheHierarchy uniqueName="[Measures].[Average of Experience (Years)]" caption="Average of Experience (Years)" measure="1" displayFolder="" measureGroup="Hr Salary" count="0">
      <extLst>
        <ext xmlns:x15="http://schemas.microsoft.com/office/spreadsheetml/2010/11/main" uri="{B97F6D7D-B522-45F9-BDA1-12C45D357490}">
          <x15:cacheHierarchy aggregatedColumn="4"/>
        </ext>
      </extLst>
    </cacheHierarchy>
    <cacheHierarchy uniqueName="[Measures].[Min of Experience (Years)]" caption="Min of Experience (Years)" measure="1" displayFolder="" measureGroup="Hr Salary" count="0">
      <extLst>
        <ext xmlns:x15="http://schemas.microsoft.com/office/spreadsheetml/2010/11/main" uri="{B97F6D7D-B522-45F9-BDA1-12C45D357490}">
          <x15:cacheHierarchy aggregatedColumn="4"/>
        </ext>
      </extLst>
    </cacheHierarchy>
    <cacheHierarchy uniqueName="[Measures].[Employees]" caption="Employees" measure="1" displayFolder="" measureGroup="Hr Salary" count="0" oneField="1">
      <fieldsUsage count="1">
        <fieldUsage x="0"/>
      </fieldsUsage>
    </cacheHierarchy>
    <cacheHierarchy uniqueName="[Measures].[Departments]" caption="Departments" measure="1" displayFolder="" measureGroup="Hr Salary" count="0"/>
    <cacheHierarchy uniqueName="[Measures].[Locations]" caption="Locations" measure="1" displayFolder="" measureGroup="Hr Salary" count="0"/>
    <cacheHierarchy uniqueName="[Measures].[Salaries]" caption="Salaries" measure="1" displayFolder="" measureGroup="Hr Salary" count="0"/>
    <cacheHierarchy uniqueName="[Measures].[Avg_Salary]" caption="Avg_Salary" measure="1" displayFolder="" measureGroup="Hr Salary" count="0"/>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osny" refreshedDate="46038.005906944447" backgroundQuery="1" createdVersion="8" refreshedVersion="8" minRefreshableVersion="3" recordCount="0" supportSubquery="1" supportAdvancedDrill="1" xr:uid="{D65389E6-59F6-4645-AB28-90477E33C014}">
  <cacheSource type="external" connectionId="3"/>
  <cacheFields count="4">
    <cacheField name="[Measures].[Locations]" caption="Locations" numFmtId="0" hierarchy="21" level="32767"/>
    <cacheField name="[Hr Salary].[Job Title].[Job Title]" caption="Job Title" numFmtId="0" hierarchy="2" level="1">
      <sharedItems containsSemiMixedTypes="0" containsNonDate="0" containsString="0"/>
    </cacheField>
    <cacheField name="[Hr Salary].[Department].[Department]" caption="Department" numFmtId="0" hierarchy="1" level="1">
      <sharedItems containsSemiMixedTypes="0" containsNonDate="0" containsString="0"/>
    </cacheField>
    <cacheField name="[Job Class].[Job Level].[Job Level]" caption="Job Level" numFmtId="0" hierarchy="9" level="1">
      <sharedItems containsSemiMixedTypes="0" containsNonDate="0" containsString="0"/>
    </cacheField>
  </cacheFields>
  <cacheHierarchies count="27">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fieldsUsage count="2">
        <fieldUsage x="-1"/>
        <fieldUsage x="2"/>
      </fieldsUsage>
    </cacheHierarchy>
    <cacheHierarchy uniqueName="[Hr Salary].[Job Title]" caption="Job Title" attribute="1" defaultMemberUniqueName="[Hr Salary].[Job Title].[All]" allUniqueName="[Hr Salary].[Job Title].[All]" dimensionUniqueName="[Hr Salary]" displayFolder="" count="2" memberValueDatatype="130" unbalanced="0">
      <fieldsUsage count="2">
        <fieldUsage x="-1"/>
        <fieldUsage x="1"/>
      </fieldsUsage>
    </cacheHierarchy>
    <cacheHierarchy uniqueName="[Hr Salary].[Gender]" caption="Gender" attribute="1" defaultMemberUniqueName="[Hr Salary].[Gender].[All]" allUniqueName="[Hr Salary].[Gender].[All]" dimensionUniqueName="[Hr Salary]" displayFolder="" count="0" memberValueDatatype="13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 Salary].[Modified Salary]" caption="Modified Salary" attribute="1" defaultMemberUniqueName="[Hr Salary].[Modified Salary].[All]" allUniqueName="[Hr Salary].[Modified Salary].[All]" dimensionUniqueName="[Hr Salary]" displayFolder="" count="0" memberValueDatatype="5"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fieldsUsage count="2">
        <fieldUsage x="-1"/>
        <fieldUsage x="3"/>
      </fieldsUsage>
    </cacheHierarchy>
    <cacheHierarchy uniqueName="[Hr Salary].[Age]" caption="Age" attribute="1" defaultMemberUniqueName="[Hr Salary].[Age].[All]" allUniqueName="[Hr Salary].[Age].[All]" dimensionUniqueName="[Hr Salary]" displayFolder="" count="0" memberValueDatatype="20" unbalanced="0" hidden="1"/>
    <cacheHierarchy uniqueName="[Hr Salary].[Employee ID]" caption="Employee ID" attribute="1" defaultMemberUniqueName="[Hr Salary].[Employee ID].[All]" allUniqueName="[Hr Salary].[Employee ID].[All]" dimensionUniqueName="[Hr Salary]" displayFolder="" count="0" memberValueDatatype="130" unbalanced="0" hidden="1"/>
    <cacheHierarchy uniqueName="[Hr Salary].[Outlier]" caption="Outlier" attribute="1" defaultMemberUniqueName="[Hr Salary].[Outlier].[All]" allUniqueName="[Hr Salary].[Outlier].[All]" dimensionUniqueName="[Hr Salary]" displayFolder="" count="0" memberValueDatatype="130" unbalanced="0" hidden="1"/>
    <cacheHierarchy uniqueName="[Hr Salary].[Salary]" caption="Salary" attribute="1" defaultMemberUniqueName="[Hr Salary].[Salary].[All]" allUniqueName="[Hr Salary].[Salary].[All]" dimensionUniqueName="[Hr Salary]" displayFolder="" count="0" memberValueDatatype="20" unbalanced="0" hidden="1"/>
    <cacheHierarchy uniqueName="[Measures].[Sum of Experience (Years)]" caption="Sum of Experience (Years)" measure="1" displayFolder="" measureGroup="Hr Salary" count="0">
      <extLst>
        <ext xmlns:x15="http://schemas.microsoft.com/office/spreadsheetml/2010/11/main" uri="{B97F6D7D-B522-45F9-BDA1-12C45D357490}">
          <x15:cacheHierarchy aggregatedColumn="4"/>
        </ext>
      </extLst>
    </cacheHierarchy>
    <cacheHierarchy uniqueName="[Measures].[Count of Job Title]" caption="Count of Job Title" measure="1" displayFolder="" measureGroup="Hr Salary" count="0">
      <extLst>
        <ext xmlns:x15="http://schemas.microsoft.com/office/spreadsheetml/2010/11/main" uri="{B97F6D7D-B522-45F9-BDA1-12C45D357490}">
          <x15:cacheHierarchy aggregatedColumn="2"/>
        </ext>
      </extLst>
    </cacheHierarchy>
    <cacheHierarchy uniqueName="[Measures].[Count of Gender]" caption="Count of Gender" measure="1" displayFolder="" measureGroup="Hr Salary" count="0">
      <extLst>
        <ext xmlns:x15="http://schemas.microsoft.com/office/spreadsheetml/2010/11/main" uri="{B97F6D7D-B522-45F9-BDA1-12C45D357490}">
          <x15:cacheHierarchy aggregatedColumn="3"/>
        </ext>
      </extLst>
    </cacheHierarchy>
    <cacheHierarchy uniqueName="[Measures].[Average of Experience (Years)]" caption="Average of Experience (Years)" measure="1" displayFolder="" measureGroup="Hr Salary" count="0">
      <extLst>
        <ext xmlns:x15="http://schemas.microsoft.com/office/spreadsheetml/2010/11/main" uri="{B97F6D7D-B522-45F9-BDA1-12C45D357490}">
          <x15:cacheHierarchy aggregatedColumn="4"/>
        </ext>
      </extLst>
    </cacheHierarchy>
    <cacheHierarchy uniqueName="[Measures].[Min of Experience (Years)]" caption="Min of Experience (Years)" measure="1" displayFolder="" measureGroup="Hr Salary" count="0">
      <extLst>
        <ext xmlns:x15="http://schemas.microsoft.com/office/spreadsheetml/2010/11/main" uri="{B97F6D7D-B522-45F9-BDA1-12C45D357490}">
          <x15:cacheHierarchy aggregatedColumn="4"/>
        </ext>
      </extLst>
    </cacheHierarchy>
    <cacheHierarchy uniqueName="[Measures].[Employees]" caption="Employees" measure="1" displayFolder="" measureGroup="Hr Salary" count="0"/>
    <cacheHierarchy uniqueName="[Measures].[Departments]" caption="Departments" measure="1" displayFolder="" measureGroup="Hr Salary" count="0"/>
    <cacheHierarchy uniqueName="[Measures].[Locations]" caption="Locations" measure="1" displayFolder="" measureGroup="Hr Salary" count="0" oneField="1">
      <fieldsUsage count="1">
        <fieldUsage x="0"/>
      </fieldsUsage>
    </cacheHierarchy>
    <cacheHierarchy uniqueName="[Measures].[Salaries]" caption="Salaries" measure="1" displayFolder="" measureGroup="Hr Salary" count="0"/>
    <cacheHierarchy uniqueName="[Measures].[Avg_Salary]" caption="Avg_Salary" measure="1" displayFolder="" measureGroup="Hr Salary" count="0"/>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osny" refreshedDate="46038.005907754632" backgroundQuery="1" createdVersion="8" refreshedVersion="8" minRefreshableVersion="3" recordCount="0" supportSubquery="1" supportAdvancedDrill="1" xr:uid="{27CC321A-0653-41E7-BA8A-FD314F54CEA4}">
  <cacheSource type="external" connectionId="3"/>
  <cacheFields count="4">
    <cacheField name="[Measures].[Departments]" caption="Departments" numFmtId="0" hierarchy="20" level="32767"/>
    <cacheField name="[Hr Salary].[Job Title].[Job Title]" caption="Job Title" numFmtId="0" hierarchy="2" level="1">
      <sharedItems containsSemiMixedTypes="0" containsNonDate="0" containsString="0"/>
    </cacheField>
    <cacheField name="[Hr Salary].[Department].[Department]" caption="Department" numFmtId="0" hierarchy="1" level="1">
      <sharedItems containsSemiMixedTypes="0" containsNonDate="0" containsString="0"/>
    </cacheField>
    <cacheField name="[Job Class].[Job Level].[Job Level]" caption="Job Level" numFmtId="0" hierarchy="9" level="1">
      <sharedItems containsSemiMixedTypes="0" containsNonDate="0" containsString="0"/>
    </cacheField>
  </cacheFields>
  <cacheHierarchies count="27">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fieldsUsage count="2">
        <fieldUsage x="-1"/>
        <fieldUsage x="2"/>
      </fieldsUsage>
    </cacheHierarchy>
    <cacheHierarchy uniqueName="[Hr Salary].[Job Title]" caption="Job Title" attribute="1" defaultMemberUniqueName="[Hr Salary].[Job Title].[All]" allUniqueName="[Hr Salary].[Job Title].[All]" dimensionUniqueName="[Hr Salary]" displayFolder="" count="2" memberValueDatatype="130" unbalanced="0">
      <fieldsUsage count="2">
        <fieldUsage x="-1"/>
        <fieldUsage x="1"/>
      </fieldsUsage>
    </cacheHierarchy>
    <cacheHierarchy uniqueName="[Hr Salary].[Gender]" caption="Gender" attribute="1" defaultMemberUniqueName="[Hr Salary].[Gender].[All]" allUniqueName="[Hr Salary].[Gender].[All]" dimensionUniqueName="[Hr Salary]" displayFolder="" count="0" memberValueDatatype="13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 Salary].[Modified Salary]" caption="Modified Salary" attribute="1" defaultMemberUniqueName="[Hr Salary].[Modified Salary].[All]" allUniqueName="[Hr Salary].[Modified Salary].[All]" dimensionUniqueName="[Hr Salary]" displayFolder="" count="0" memberValueDatatype="5"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fieldsUsage count="2">
        <fieldUsage x="-1"/>
        <fieldUsage x="3"/>
      </fieldsUsage>
    </cacheHierarchy>
    <cacheHierarchy uniqueName="[Hr Salary].[Age]" caption="Age" attribute="1" defaultMemberUniqueName="[Hr Salary].[Age].[All]" allUniqueName="[Hr Salary].[Age].[All]" dimensionUniqueName="[Hr Salary]" displayFolder="" count="0" memberValueDatatype="20" unbalanced="0" hidden="1"/>
    <cacheHierarchy uniqueName="[Hr Salary].[Employee ID]" caption="Employee ID" attribute="1" defaultMemberUniqueName="[Hr Salary].[Employee ID].[All]" allUniqueName="[Hr Salary].[Employee ID].[All]" dimensionUniqueName="[Hr Salary]" displayFolder="" count="0" memberValueDatatype="130" unbalanced="0" hidden="1"/>
    <cacheHierarchy uniqueName="[Hr Salary].[Outlier]" caption="Outlier" attribute="1" defaultMemberUniqueName="[Hr Salary].[Outlier].[All]" allUniqueName="[Hr Salary].[Outlier].[All]" dimensionUniqueName="[Hr Salary]" displayFolder="" count="0" memberValueDatatype="130" unbalanced="0" hidden="1"/>
    <cacheHierarchy uniqueName="[Hr Salary].[Salary]" caption="Salary" attribute="1" defaultMemberUniqueName="[Hr Salary].[Salary].[All]" allUniqueName="[Hr Salary].[Salary].[All]" dimensionUniqueName="[Hr Salary]" displayFolder="" count="0" memberValueDatatype="20" unbalanced="0" hidden="1"/>
    <cacheHierarchy uniqueName="[Measures].[Sum of Experience (Years)]" caption="Sum of Experience (Years)" measure="1" displayFolder="" measureGroup="Hr Salary" count="0">
      <extLst>
        <ext xmlns:x15="http://schemas.microsoft.com/office/spreadsheetml/2010/11/main" uri="{B97F6D7D-B522-45F9-BDA1-12C45D357490}">
          <x15:cacheHierarchy aggregatedColumn="4"/>
        </ext>
      </extLst>
    </cacheHierarchy>
    <cacheHierarchy uniqueName="[Measures].[Count of Job Title]" caption="Count of Job Title" measure="1" displayFolder="" measureGroup="Hr Salary" count="0">
      <extLst>
        <ext xmlns:x15="http://schemas.microsoft.com/office/spreadsheetml/2010/11/main" uri="{B97F6D7D-B522-45F9-BDA1-12C45D357490}">
          <x15:cacheHierarchy aggregatedColumn="2"/>
        </ext>
      </extLst>
    </cacheHierarchy>
    <cacheHierarchy uniqueName="[Measures].[Count of Gender]" caption="Count of Gender" measure="1" displayFolder="" measureGroup="Hr Salary" count="0">
      <extLst>
        <ext xmlns:x15="http://schemas.microsoft.com/office/spreadsheetml/2010/11/main" uri="{B97F6D7D-B522-45F9-BDA1-12C45D357490}">
          <x15:cacheHierarchy aggregatedColumn="3"/>
        </ext>
      </extLst>
    </cacheHierarchy>
    <cacheHierarchy uniqueName="[Measures].[Average of Experience (Years)]" caption="Average of Experience (Years)" measure="1" displayFolder="" measureGroup="Hr Salary" count="0">
      <extLst>
        <ext xmlns:x15="http://schemas.microsoft.com/office/spreadsheetml/2010/11/main" uri="{B97F6D7D-B522-45F9-BDA1-12C45D357490}">
          <x15:cacheHierarchy aggregatedColumn="4"/>
        </ext>
      </extLst>
    </cacheHierarchy>
    <cacheHierarchy uniqueName="[Measures].[Min of Experience (Years)]" caption="Min of Experience (Years)" measure="1" displayFolder="" measureGroup="Hr Salary" count="0">
      <extLst>
        <ext xmlns:x15="http://schemas.microsoft.com/office/spreadsheetml/2010/11/main" uri="{B97F6D7D-B522-45F9-BDA1-12C45D357490}">
          <x15:cacheHierarchy aggregatedColumn="4"/>
        </ext>
      </extLst>
    </cacheHierarchy>
    <cacheHierarchy uniqueName="[Measures].[Employees]" caption="Employees" measure="1" displayFolder="" measureGroup="Hr Salary" count="0"/>
    <cacheHierarchy uniqueName="[Measures].[Departments]" caption="Departments" measure="1" displayFolder="" measureGroup="Hr Salary" count="0" oneField="1">
      <fieldsUsage count="1">
        <fieldUsage x="0"/>
      </fieldsUsage>
    </cacheHierarchy>
    <cacheHierarchy uniqueName="[Measures].[Locations]" caption="Locations" measure="1" displayFolder="" measureGroup="Hr Salary" count="0"/>
    <cacheHierarchy uniqueName="[Measures].[Salaries]" caption="Salaries" measure="1" displayFolder="" measureGroup="Hr Salary" count="0"/>
    <cacheHierarchy uniqueName="[Measures].[Avg_Salary]" caption="Avg_Salary" measure="1" displayFolder="" measureGroup="Hr Salary" count="0"/>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osny" refreshedDate="46038.005909027779" backgroundQuery="1" createdVersion="8" refreshedVersion="8" minRefreshableVersion="3" recordCount="0" supportSubquery="1" supportAdvancedDrill="1" xr:uid="{41671BA7-38CA-478D-A337-25251101945F}">
  <cacheSource type="external" connectionId="3"/>
  <cacheFields count="5">
    <cacheField name="[Hr Salary].[Location].[Location]" caption="Location" numFmtId="0" hierarchy="5" level="1">
      <sharedItems count="7">
        <s v="Denver"/>
        <s v="Fort Worth"/>
        <s v="Houston"/>
        <s v="Indianapolis"/>
        <s v="Philadelphia"/>
        <s v="San Jose"/>
        <s v="Seattle"/>
      </sharedItems>
    </cacheField>
    <cacheField name="[Measures].[Avg_Salary]" caption="Avg_Salary" numFmtId="0" hierarchy="23" level="32767"/>
    <cacheField name="[Hr Salary].[Job Title].[Job Title]" caption="Job Title" numFmtId="0" hierarchy="2" level="1">
      <sharedItems containsSemiMixedTypes="0" containsNonDate="0" containsString="0"/>
    </cacheField>
    <cacheField name="[Hr Salary].[Department].[Department]" caption="Department" numFmtId="0" hierarchy="1" level="1">
      <sharedItems containsSemiMixedTypes="0" containsNonDate="0" containsString="0"/>
    </cacheField>
    <cacheField name="[Job Class].[Job Level].[Job Level]" caption="Job Level" numFmtId="0" hierarchy="9" level="1">
      <sharedItems containsSemiMixedTypes="0" containsNonDate="0" containsString="0"/>
    </cacheField>
  </cacheFields>
  <cacheHierarchies count="27">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fieldsUsage count="2">
        <fieldUsage x="-1"/>
        <fieldUsage x="3"/>
      </fieldsUsage>
    </cacheHierarchy>
    <cacheHierarchy uniqueName="[Hr Salary].[Job Title]" caption="Job Title" attribute="1" defaultMemberUniqueName="[Hr Salary].[Job Title].[All]" allUniqueName="[Hr Salary].[Job Title].[All]" dimensionUniqueName="[Hr Salary]" displayFolder="" count="2" memberValueDatatype="130" unbalanced="0">
      <fieldsUsage count="2">
        <fieldUsage x="-1"/>
        <fieldUsage x="2"/>
      </fieldsUsage>
    </cacheHierarchy>
    <cacheHierarchy uniqueName="[Hr Salary].[Gender]" caption="Gender" attribute="1" defaultMemberUniqueName="[Hr Salary].[Gender].[All]" allUniqueName="[Hr Salary].[Gender].[All]" dimensionUniqueName="[Hr Salary]" displayFolder="" count="0" memberValueDatatype="13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2" memberValueDatatype="130" unbalanced="0">
      <fieldsUsage count="2">
        <fieldUsage x="-1"/>
        <fieldUsage x="0"/>
      </fieldsUsage>
    </cacheHierarchy>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 Salary].[Modified Salary]" caption="Modified Salary" attribute="1" defaultMemberUniqueName="[Hr Salary].[Modified Salary].[All]" allUniqueName="[Hr Salary].[Modified Salary].[All]" dimensionUniqueName="[Hr Salary]" displayFolder="" count="0" memberValueDatatype="5"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fieldsUsage count="2">
        <fieldUsage x="-1"/>
        <fieldUsage x="4"/>
      </fieldsUsage>
    </cacheHierarchy>
    <cacheHierarchy uniqueName="[Hr Salary].[Age]" caption="Age" attribute="1" defaultMemberUniqueName="[Hr Salary].[Age].[All]" allUniqueName="[Hr Salary].[Age].[All]" dimensionUniqueName="[Hr Salary]" displayFolder="" count="0" memberValueDatatype="20" unbalanced="0" hidden="1"/>
    <cacheHierarchy uniqueName="[Hr Salary].[Employee ID]" caption="Employee ID" attribute="1" defaultMemberUniqueName="[Hr Salary].[Employee ID].[All]" allUniqueName="[Hr Salary].[Employee ID].[All]" dimensionUniqueName="[Hr Salary]" displayFolder="" count="0" memberValueDatatype="130" unbalanced="0" hidden="1"/>
    <cacheHierarchy uniqueName="[Hr Salary].[Outlier]" caption="Outlier" attribute="1" defaultMemberUniqueName="[Hr Salary].[Outlier].[All]" allUniqueName="[Hr Salary].[Outlier].[All]" dimensionUniqueName="[Hr Salary]" displayFolder="" count="0" memberValueDatatype="130" unbalanced="0" hidden="1"/>
    <cacheHierarchy uniqueName="[Hr Salary].[Salary]" caption="Salary" attribute="1" defaultMemberUniqueName="[Hr Salary].[Salary].[All]" allUniqueName="[Hr Salary].[Salary].[All]" dimensionUniqueName="[Hr Salary]" displayFolder="" count="0" memberValueDatatype="20" unbalanced="0" hidden="1"/>
    <cacheHierarchy uniqueName="[Measures].[Sum of Experience (Years)]" caption="Sum of Experience (Years)" measure="1" displayFolder="" measureGroup="Hr Salary" count="0">
      <extLst>
        <ext xmlns:x15="http://schemas.microsoft.com/office/spreadsheetml/2010/11/main" uri="{B97F6D7D-B522-45F9-BDA1-12C45D357490}">
          <x15:cacheHierarchy aggregatedColumn="4"/>
        </ext>
      </extLst>
    </cacheHierarchy>
    <cacheHierarchy uniqueName="[Measures].[Count of Job Title]" caption="Count of Job Title" measure="1" displayFolder="" measureGroup="Hr Salary" count="0">
      <extLst>
        <ext xmlns:x15="http://schemas.microsoft.com/office/spreadsheetml/2010/11/main" uri="{B97F6D7D-B522-45F9-BDA1-12C45D357490}">
          <x15:cacheHierarchy aggregatedColumn="2"/>
        </ext>
      </extLst>
    </cacheHierarchy>
    <cacheHierarchy uniqueName="[Measures].[Count of Gender]" caption="Count of Gender" measure="1" displayFolder="" measureGroup="Hr Salary" count="0">
      <extLst>
        <ext xmlns:x15="http://schemas.microsoft.com/office/spreadsheetml/2010/11/main" uri="{B97F6D7D-B522-45F9-BDA1-12C45D357490}">
          <x15:cacheHierarchy aggregatedColumn="3"/>
        </ext>
      </extLst>
    </cacheHierarchy>
    <cacheHierarchy uniqueName="[Measures].[Average of Experience (Years)]" caption="Average of Experience (Years)" measure="1" displayFolder="" measureGroup="Hr Salary" count="0">
      <extLst>
        <ext xmlns:x15="http://schemas.microsoft.com/office/spreadsheetml/2010/11/main" uri="{B97F6D7D-B522-45F9-BDA1-12C45D357490}">
          <x15:cacheHierarchy aggregatedColumn="4"/>
        </ext>
      </extLst>
    </cacheHierarchy>
    <cacheHierarchy uniqueName="[Measures].[Min of Experience (Years)]" caption="Min of Experience (Years)" measure="1" displayFolder="" measureGroup="Hr Salary" count="0">
      <extLst>
        <ext xmlns:x15="http://schemas.microsoft.com/office/spreadsheetml/2010/11/main" uri="{B97F6D7D-B522-45F9-BDA1-12C45D357490}">
          <x15:cacheHierarchy aggregatedColumn="4"/>
        </ext>
      </extLst>
    </cacheHierarchy>
    <cacheHierarchy uniqueName="[Measures].[Employees]" caption="Employees" measure="1" displayFolder="" measureGroup="Hr Salary" count="0"/>
    <cacheHierarchy uniqueName="[Measures].[Departments]" caption="Departments" measure="1" displayFolder="" measureGroup="Hr Salary" count="0"/>
    <cacheHierarchy uniqueName="[Measures].[Locations]" caption="Locations" measure="1" displayFolder="" measureGroup="Hr Salary" count="0"/>
    <cacheHierarchy uniqueName="[Measures].[Salaries]" caption="Salaries" measure="1" displayFolder="" measureGroup="Hr Salary" count="0"/>
    <cacheHierarchy uniqueName="[Measures].[Avg_Salary]" caption="Avg_Salary" measure="1" displayFolder="" measureGroup="Hr Salary" count="0" oneField="1">
      <fieldsUsage count="1">
        <fieldUsage x="1"/>
      </fieldsUsage>
    </cacheHierarchy>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osny" refreshedDate="46038.005910185188" backgroundQuery="1" createdVersion="8" refreshedVersion="8" minRefreshableVersion="3" recordCount="0" supportSubquery="1" supportAdvancedDrill="1" xr:uid="{1CCE0470-6378-42EC-8A7A-A438E1EBD032}">
  <cacheSource type="external" connectionId="3"/>
  <cacheFields count="5">
    <cacheField name="[Measures].[Avg_Salary]" caption="Avg_Salary" numFmtId="0" hierarchy="23" level="32767"/>
    <cacheField name="[Hr Salary].[Education Level].[Education Level]" caption="Education Level" numFmtId="0" hierarchy="6" level="1">
      <sharedItems count="4">
        <s v="BSC"/>
        <s v="High School"/>
        <s v="Master"/>
        <s v="PhD"/>
      </sharedItems>
    </cacheField>
    <cacheField name="[Hr Salary].[Job Title].[Job Title]" caption="Job Title" numFmtId="0" hierarchy="2" level="1">
      <sharedItems containsSemiMixedTypes="0" containsNonDate="0" containsString="0"/>
    </cacheField>
    <cacheField name="[Hr Salary].[Department].[Department]" caption="Department" numFmtId="0" hierarchy="1" level="1">
      <sharedItems containsSemiMixedTypes="0" containsNonDate="0" containsString="0"/>
    </cacheField>
    <cacheField name="[Job Class].[Job Level].[Job Level]" caption="Job Level" numFmtId="0" hierarchy="9" level="1">
      <sharedItems containsSemiMixedTypes="0" containsNonDate="0" containsString="0"/>
    </cacheField>
  </cacheFields>
  <cacheHierarchies count="27">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fieldsUsage count="2">
        <fieldUsage x="-1"/>
        <fieldUsage x="3"/>
      </fieldsUsage>
    </cacheHierarchy>
    <cacheHierarchy uniqueName="[Hr Salary].[Job Title]" caption="Job Title" attribute="1" defaultMemberUniqueName="[Hr Salary].[Job Title].[All]" allUniqueName="[Hr Salary].[Job Title].[All]" dimensionUniqueName="[Hr Salary]" displayFolder="" count="2" memberValueDatatype="130" unbalanced="0">
      <fieldsUsage count="2">
        <fieldUsage x="-1"/>
        <fieldUsage x="2"/>
      </fieldsUsage>
    </cacheHierarchy>
    <cacheHierarchy uniqueName="[Hr Salary].[Gender]" caption="Gender" attribute="1" defaultMemberUniqueName="[Hr Salary].[Gender].[All]" allUniqueName="[Hr Salary].[Gender].[All]" dimensionUniqueName="[Hr Salary]" displayFolder="" count="0" memberValueDatatype="13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2" memberValueDatatype="130" unbalanced="0">
      <fieldsUsage count="2">
        <fieldUsage x="-1"/>
        <fieldUsage x="1"/>
      </fieldsUsage>
    </cacheHierarchy>
    <cacheHierarchy uniqueName="[Hr Salary].[Modified Salary]" caption="Modified Salary" attribute="1" defaultMemberUniqueName="[Hr Salary].[Modified Salary].[All]" allUniqueName="[Hr Salary].[Modified Salary].[All]" dimensionUniqueName="[Hr Salary]" displayFolder="" count="0" memberValueDatatype="5"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fieldsUsage count="2">
        <fieldUsage x="-1"/>
        <fieldUsage x="4"/>
      </fieldsUsage>
    </cacheHierarchy>
    <cacheHierarchy uniqueName="[Hr Salary].[Age]" caption="Age" attribute="1" defaultMemberUniqueName="[Hr Salary].[Age].[All]" allUniqueName="[Hr Salary].[Age].[All]" dimensionUniqueName="[Hr Salary]" displayFolder="" count="0" memberValueDatatype="20" unbalanced="0" hidden="1"/>
    <cacheHierarchy uniqueName="[Hr Salary].[Employee ID]" caption="Employee ID" attribute="1" defaultMemberUniqueName="[Hr Salary].[Employee ID].[All]" allUniqueName="[Hr Salary].[Employee ID].[All]" dimensionUniqueName="[Hr Salary]" displayFolder="" count="0" memberValueDatatype="130" unbalanced="0" hidden="1"/>
    <cacheHierarchy uniqueName="[Hr Salary].[Outlier]" caption="Outlier" attribute="1" defaultMemberUniqueName="[Hr Salary].[Outlier].[All]" allUniqueName="[Hr Salary].[Outlier].[All]" dimensionUniqueName="[Hr Salary]" displayFolder="" count="0" memberValueDatatype="130" unbalanced="0" hidden="1"/>
    <cacheHierarchy uniqueName="[Hr Salary].[Salary]" caption="Salary" attribute="1" defaultMemberUniqueName="[Hr Salary].[Salary].[All]" allUniqueName="[Hr Salary].[Salary].[All]" dimensionUniqueName="[Hr Salary]" displayFolder="" count="0" memberValueDatatype="20" unbalanced="0" hidden="1"/>
    <cacheHierarchy uniqueName="[Measures].[Sum of Experience (Years)]" caption="Sum of Experience (Years)" measure="1" displayFolder="" measureGroup="Hr Salary" count="0">
      <extLst>
        <ext xmlns:x15="http://schemas.microsoft.com/office/spreadsheetml/2010/11/main" uri="{B97F6D7D-B522-45F9-BDA1-12C45D357490}">
          <x15:cacheHierarchy aggregatedColumn="4"/>
        </ext>
      </extLst>
    </cacheHierarchy>
    <cacheHierarchy uniqueName="[Measures].[Count of Job Title]" caption="Count of Job Title" measure="1" displayFolder="" measureGroup="Hr Salary" count="0">
      <extLst>
        <ext xmlns:x15="http://schemas.microsoft.com/office/spreadsheetml/2010/11/main" uri="{B97F6D7D-B522-45F9-BDA1-12C45D357490}">
          <x15:cacheHierarchy aggregatedColumn="2"/>
        </ext>
      </extLst>
    </cacheHierarchy>
    <cacheHierarchy uniqueName="[Measures].[Count of Gender]" caption="Count of Gender" measure="1" displayFolder="" measureGroup="Hr Salary" count="0">
      <extLst>
        <ext xmlns:x15="http://schemas.microsoft.com/office/spreadsheetml/2010/11/main" uri="{B97F6D7D-B522-45F9-BDA1-12C45D357490}">
          <x15:cacheHierarchy aggregatedColumn="3"/>
        </ext>
      </extLst>
    </cacheHierarchy>
    <cacheHierarchy uniqueName="[Measures].[Average of Experience (Years)]" caption="Average of Experience (Years)" measure="1" displayFolder="" measureGroup="Hr Salary" count="0">
      <extLst>
        <ext xmlns:x15="http://schemas.microsoft.com/office/spreadsheetml/2010/11/main" uri="{B97F6D7D-B522-45F9-BDA1-12C45D357490}">
          <x15:cacheHierarchy aggregatedColumn="4"/>
        </ext>
      </extLst>
    </cacheHierarchy>
    <cacheHierarchy uniqueName="[Measures].[Min of Experience (Years)]" caption="Min of Experience (Years)" measure="1" displayFolder="" measureGroup="Hr Salary" count="0">
      <extLst>
        <ext xmlns:x15="http://schemas.microsoft.com/office/spreadsheetml/2010/11/main" uri="{B97F6D7D-B522-45F9-BDA1-12C45D357490}">
          <x15:cacheHierarchy aggregatedColumn="4"/>
        </ext>
      </extLst>
    </cacheHierarchy>
    <cacheHierarchy uniqueName="[Measures].[Employees]" caption="Employees" measure="1" displayFolder="" measureGroup="Hr Salary" count="0"/>
    <cacheHierarchy uniqueName="[Measures].[Departments]" caption="Departments" measure="1" displayFolder="" measureGroup="Hr Salary" count="0"/>
    <cacheHierarchy uniqueName="[Measures].[Locations]" caption="Locations" measure="1" displayFolder="" measureGroup="Hr Salary" count="0"/>
    <cacheHierarchy uniqueName="[Measures].[Salaries]" caption="Salaries" measure="1" displayFolder="" measureGroup="Hr Salary" count="0"/>
    <cacheHierarchy uniqueName="[Measures].[Avg_Salary]" caption="Avg_Salary" measure="1" displayFolder="" measureGroup="Hr Salary" count="0" oneField="1">
      <fieldsUsage count="1">
        <fieldUsage x="0"/>
      </fieldsUsage>
    </cacheHierarchy>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osny" refreshedDate="46038.005912152781" backgroundQuery="1" createdVersion="8" refreshedVersion="8" minRefreshableVersion="3" recordCount="0" supportSubquery="1" supportAdvancedDrill="1" xr:uid="{78F0CAE4-24E5-4551-94C5-8D38F7D4E9EC}">
  <cacheSource type="external" connectionId="3"/>
  <cacheFields count="5">
    <cacheField name="[Measures].[Avg_Salary]" caption="Avg_Salary" numFmtId="0" hierarchy="23" level="32767"/>
    <cacheField name="[Hr Salary].[Experience (Years)].[Experience (Years)]" caption="Experience (Years)" numFmtId="0" hierarchy="4" level="1">
      <sharedItems containsSemiMixedTypes="0" containsString="0" containsNumber="1" containsInteger="1" minValue="0" maxValue="37" count="36">
        <n v="0"/>
        <n v="1"/>
        <n v="2"/>
        <n v="3"/>
        <n v="4"/>
        <n v="5"/>
        <n v="6"/>
        <n v="7"/>
        <n v="8"/>
        <n v="9"/>
        <n v="10"/>
        <n v="11"/>
        <n v="12"/>
        <n v="13"/>
        <n v="14"/>
        <n v="15"/>
        <n v="16"/>
        <n v="17"/>
        <n v="18"/>
        <n v="19"/>
        <n v="20"/>
        <n v="21"/>
        <n v="22"/>
        <n v="23"/>
        <n v="24"/>
        <n v="25"/>
        <n v="26"/>
        <n v="27"/>
        <n v="28"/>
        <n v="29"/>
        <n v="30"/>
        <n v="31"/>
        <n v="32"/>
        <n v="33"/>
        <n v="34"/>
        <n v="37"/>
      </sharedItems>
      <extLst>
        <ext xmlns:x15="http://schemas.microsoft.com/office/spreadsheetml/2010/11/main" uri="{4F2E5C28-24EA-4eb8-9CBF-B6C8F9C3D259}">
          <x15:cachedUniqueNames>
            <x15:cachedUniqueName index="0" name="[Hr Salary].[Experience (Years)].&amp;[0]"/>
            <x15:cachedUniqueName index="1" name="[Hr Salary].[Experience (Years)].&amp;[1]"/>
            <x15:cachedUniqueName index="2" name="[Hr Salary].[Experience (Years)].&amp;[2]"/>
            <x15:cachedUniqueName index="3" name="[Hr Salary].[Experience (Years)].&amp;[3]"/>
            <x15:cachedUniqueName index="4" name="[Hr Salary].[Experience (Years)].&amp;[4]"/>
            <x15:cachedUniqueName index="5" name="[Hr Salary].[Experience (Years)].&amp;[5]"/>
            <x15:cachedUniqueName index="6" name="[Hr Salary].[Experience (Years)].&amp;[6]"/>
            <x15:cachedUniqueName index="7" name="[Hr Salary].[Experience (Years)].&amp;[7]"/>
            <x15:cachedUniqueName index="8" name="[Hr Salary].[Experience (Years)].&amp;[8]"/>
            <x15:cachedUniqueName index="9" name="[Hr Salary].[Experience (Years)].&amp;[9]"/>
            <x15:cachedUniqueName index="10" name="[Hr Salary].[Experience (Years)].&amp;[10]"/>
            <x15:cachedUniqueName index="11" name="[Hr Salary].[Experience (Years)].&amp;[11]"/>
            <x15:cachedUniqueName index="12" name="[Hr Salary].[Experience (Years)].&amp;[12]"/>
            <x15:cachedUniqueName index="13" name="[Hr Salary].[Experience (Years)].&amp;[13]"/>
            <x15:cachedUniqueName index="14" name="[Hr Salary].[Experience (Years)].&amp;[14]"/>
            <x15:cachedUniqueName index="15" name="[Hr Salary].[Experience (Years)].&amp;[15]"/>
            <x15:cachedUniqueName index="16" name="[Hr Salary].[Experience (Years)].&amp;[16]"/>
            <x15:cachedUniqueName index="17" name="[Hr Salary].[Experience (Years)].&amp;[17]"/>
            <x15:cachedUniqueName index="18" name="[Hr Salary].[Experience (Years)].&amp;[18]"/>
            <x15:cachedUniqueName index="19" name="[Hr Salary].[Experience (Years)].&amp;[19]"/>
            <x15:cachedUniqueName index="20" name="[Hr Salary].[Experience (Years)].&amp;[20]"/>
            <x15:cachedUniqueName index="21" name="[Hr Salary].[Experience (Years)].&amp;[21]"/>
            <x15:cachedUniqueName index="22" name="[Hr Salary].[Experience (Years)].&amp;[22]"/>
            <x15:cachedUniqueName index="23" name="[Hr Salary].[Experience (Years)].&amp;[23]"/>
            <x15:cachedUniqueName index="24" name="[Hr Salary].[Experience (Years)].&amp;[24]"/>
            <x15:cachedUniqueName index="25" name="[Hr Salary].[Experience (Years)].&amp;[25]"/>
            <x15:cachedUniqueName index="26" name="[Hr Salary].[Experience (Years)].&amp;[26]"/>
            <x15:cachedUniqueName index="27" name="[Hr Salary].[Experience (Years)].&amp;[27]"/>
            <x15:cachedUniqueName index="28" name="[Hr Salary].[Experience (Years)].&amp;[28]"/>
            <x15:cachedUniqueName index="29" name="[Hr Salary].[Experience (Years)].&amp;[29]"/>
            <x15:cachedUniqueName index="30" name="[Hr Salary].[Experience (Years)].&amp;[30]"/>
            <x15:cachedUniqueName index="31" name="[Hr Salary].[Experience (Years)].&amp;[31]"/>
            <x15:cachedUniqueName index="32" name="[Hr Salary].[Experience (Years)].&amp;[32]"/>
            <x15:cachedUniqueName index="33" name="[Hr Salary].[Experience (Years)].&amp;[33]"/>
            <x15:cachedUniqueName index="34" name="[Hr Salary].[Experience (Years)].&amp;[34]"/>
            <x15:cachedUniqueName index="35" name="[Hr Salary].[Experience (Years)].&amp;[37]"/>
          </x15:cachedUniqueNames>
        </ext>
      </extLst>
    </cacheField>
    <cacheField name="[Hr Salary].[Job Title].[Job Title]" caption="Job Title" numFmtId="0" hierarchy="2" level="1">
      <sharedItems containsSemiMixedTypes="0" containsNonDate="0" containsString="0"/>
    </cacheField>
    <cacheField name="[Hr Salary].[Department].[Department]" caption="Department" numFmtId="0" hierarchy="1" level="1">
      <sharedItems containsSemiMixedTypes="0" containsNonDate="0" containsString="0"/>
    </cacheField>
    <cacheField name="[Job Class].[Job Level].[Job Level]" caption="Job Level" numFmtId="0" hierarchy="9" level="1">
      <sharedItems containsSemiMixedTypes="0" containsNonDate="0" containsString="0"/>
    </cacheField>
  </cacheFields>
  <cacheHierarchies count="27">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fieldsUsage count="2">
        <fieldUsage x="-1"/>
        <fieldUsage x="3"/>
      </fieldsUsage>
    </cacheHierarchy>
    <cacheHierarchy uniqueName="[Hr Salary].[Job Title]" caption="Job Title" attribute="1" defaultMemberUniqueName="[Hr Salary].[Job Title].[All]" allUniqueName="[Hr Salary].[Job Title].[All]" dimensionUniqueName="[Hr Salary]" displayFolder="" count="2" memberValueDatatype="130" unbalanced="0">
      <fieldsUsage count="2">
        <fieldUsage x="-1"/>
        <fieldUsage x="2"/>
      </fieldsUsage>
    </cacheHierarchy>
    <cacheHierarchy uniqueName="[Hr Salary].[Gender]" caption="Gender" attribute="1" defaultMemberUniqueName="[Hr Salary].[Gender].[All]" allUniqueName="[Hr Salary].[Gender].[All]" dimensionUniqueName="[Hr Salary]" displayFolder="" count="0" memberValueDatatype="130" unbalanced="0"/>
    <cacheHierarchy uniqueName="[Hr Salary].[Experience (Years)]" caption="Experience (Years)" attribute="1" defaultMemberUniqueName="[Hr Salary].[Experience (Years)].[All]" allUniqueName="[Hr Salary].[Experience (Years)].[All]" dimensionUniqueName="[Hr Salary]" displayFolder="" count="2" memberValueDatatype="20" unbalanced="0">
      <fieldsUsage count="2">
        <fieldUsage x="-1"/>
        <fieldUsage x="1"/>
      </fieldsUsage>
    </cacheHierarchy>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 Salary].[Modified Salary]" caption="Modified Salary" attribute="1" defaultMemberUniqueName="[Hr Salary].[Modified Salary].[All]" allUniqueName="[Hr Salary].[Modified Salary].[All]" dimensionUniqueName="[Hr Salary]" displayFolder="" count="0" memberValueDatatype="5"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fieldsUsage count="2">
        <fieldUsage x="-1"/>
        <fieldUsage x="4"/>
      </fieldsUsage>
    </cacheHierarchy>
    <cacheHierarchy uniqueName="[Hr Salary].[Age]" caption="Age" attribute="1" defaultMemberUniqueName="[Hr Salary].[Age].[All]" allUniqueName="[Hr Salary].[Age].[All]" dimensionUniqueName="[Hr Salary]" displayFolder="" count="0" memberValueDatatype="20" unbalanced="0" hidden="1"/>
    <cacheHierarchy uniqueName="[Hr Salary].[Employee ID]" caption="Employee ID" attribute="1" defaultMemberUniqueName="[Hr Salary].[Employee ID].[All]" allUniqueName="[Hr Salary].[Employee ID].[All]" dimensionUniqueName="[Hr Salary]" displayFolder="" count="0" memberValueDatatype="130" unbalanced="0" hidden="1"/>
    <cacheHierarchy uniqueName="[Hr Salary].[Outlier]" caption="Outlier" attribute="1" defaultMemberUniqueName="[Hr Salary].[Outlier].[All]" allUniqueName="[Hr Salary].[Outlier].[All]" dimensionUniqueName="[Hr Salary]" displayFolder="" count="0" memberValueDatatype="130" unbalanced="0" hidden="1"/>
    <cacheHierarchy uniqueName="[Hr Salary].[Salary]" caption="Salary" attribute="1" defaultMemberUniqueName="[Hr Salary].[Salary].[All]" allUniqueName="[Hr Salary].[Salary].[All]" dimensionUniqueName="[Hr Salary]" displayFolder="" count="0" memberValueDatatype="20" unbalanced="0" hidden="1"/>
    <cacheHierarchy uniqueName="[Measures].[Sum of Experience (Years)]" caption="Sum of Experience (Years)" measure="1" displayFolder="" measureGroup="Hr Salary" count="0">
      <extLst>
        <ext xmlns:x15="http://schemas.microsoft.com/office/spreadsheetml/2010/11/main" uri="{B97F6D7D-B522-45F9-BDA1-12C45D357490}">
          <x15:cacheHierarchy aggregatedColumn="4"/>
        </ext>
      </extLst>
    </cacheHierarchy>
    <cacheHierarchy uniqueName="[Measures].[Count of Job Title]" caption="Count of Job Title" measure="1" displayFolder="" measureGroup="Hr Salary" count="0">
      <extLst>
        <ext xmlns:x15="http://schemas.microsoft.com/office/spreadsheetml/2010/11/main" uri="{B97F6D7D-B522-45F9-BDA1-12C45D357490}">
          <x15:cacheHierarchy aggregatedColumn="2"/>
        </ext>
      </extLst>
    </cacheHierarchy>
    <cacheHierarchy uniqueName="[Measures].[Count of Gender]" caption="Count of Gender" measure="1" displayFolder="" measureGroup="Hr Salary" count="0">
      <extLst>
        <ext xmlns:x15="http://schemas.microsoft.com/office/spreadsheetml/2010/11/main" uri="{B97F6D7D-B522-45F9-BDA1-12C45D357490}">
          <x15:cacheHierarchy aggregatedColumn="3"/>
        </ext>
      </extLst>
    </cacheHierarchy>
    <cacheHierarchy uniqueName="[Measures].[Average of Experience (Years)]" caption="Average of Experience (Years)" measure="1" displayFolder="" measureGroup="Hr Salary" count="0">
      <extLst>
        <ext xmlns:x15="http://schemas.microsoft.com/office/spreadsheetml/2010/11/main" uri="{B97F6D7D-B522-45F9-BDA1-12C45D357490}">
          <x15:cacheHierarchy aggregatedColumn="4"/>
        </ext>
      </extLst>
    </cacheHierarchy>
    <cacheHierarchy uniqueName="[Measures].[Min of Experience (Years)]" caption="Min of Experience (Years)" measure="1" displayFolder="" measureGroup="Hr Salary" count="0">
      <extLst>
        <ext xmlns:x15="http://schemas.microsoft.com/office/spreadsheetml/2010/11/main" uri="{B97F6D7D-B522-45F9-BDA1-12C45D357490}">
          <x15:cacheHierarchy aggregatedColumn="4"/>
        </ext>
      </extLst>
    </cacheHierarchy>
    <cacheHierarchy uniqueName="[Measures].[Employees]" caption="Employees" measure="1" displayFolder="" measureGroup="Hr Salary" count="0"/>
    <cacheHierarchy uniqueName="[Measures].[Departments]" caption="Departments" measure="1" displayFolder="" measureGroup="Hr Salary" count="0"/>
    <cacheHierarchy uniqueName="[Measures].[Locations]" caption="Locations" measure="1" displayFolder="" measureGroup="Hr Salary" count="0"/>
    <cacheHierarchy uniqueName="[Measures].[Salaries]" caption="Salaries" measure="1" displayFolder="" measureGroup="Hr Salary" count="0"/>
    <cacheHierarchy uniqueName="[Measures].[Avg_Salary]" caption="Avg_Salary" measure="1" displayFolder="" measureGroup="Hr Salary" count="0" oneField="1">
      <fieldsUsage count="1">
        <fieldUsage x="0"/>
      </fieldsUsage>
    </cacheHierarchy>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osny" refreshedDate="46038.005913078705" backgroundQuery="1" createdVersion="8" refreshedVersion="8" minRefreshableVersion="3" recordCount="0" supportSubquery="1" supportAdvancedDrill="1" xr:uid="{D9CF9519-66BB-4554-9BC3-F2F94CB2CA3C}">
  <cacheSource type="external" connectionId="3"/>
  <cacheFields count="4">
    <cacheField name="[Measures].[Avg_Salary]" caption="Avg_Salary" numFmtId="0" hierarchy="23" level="32767"/>
    <cacheField name="[Hr Salary].[Department].[Department]" caption="Department" numFmtId="0" hierarchy="1" level="1">
      <sharedItems count="7">
        <s v="Finance"/>
        <s v="HR"/>
        <s v="IT"/>
        <s v="Marketing"/>
        <s v="Operations"/>
        <s v="R&amp;D"/>
        <s v="Sales"/>
      </sharedItems>
    </cacheField>
    <cacheField name="[Hr Salary].[Job Title].[Job Title]" caption="Job Title" numFmtId="0" hierarchy="2" level="1">
      <sharedItems containsSemiMixedTypes="0" containsNonDate="0" containsString="0"/>
    </cacheField>
    <cacheField name="[Job Class].[Job Level].[Job Level]" caption="Job Level" numFmtId="0" hierarchy="9" level="1">
      <sharedItems containsSemiMixedTypes="0" containsNonDate="0" containsString="0"/>
    </cacheField>
  </cacheFields>
  <cacheHierarchies count="27">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fieldsUsage count="2">
        <fieldUsage x="-1"/>
        <fieldUsage x="1"/>
      </fieldsUsage>
    </cacheHierarchy>
    <cacheHierarchy uniqueName="[Hr Salary].[Job Title]" caption="Job Title" attribute="1" defaultMemberUniqueName="[Hr Salary].[Job Title].[All]" allUniqueName="[Hr Salary].[Job Title].[All]" dimensionUniqueName="[Hr Salary]" displayFolder="" count="2" memberValueDatatype="130" unbalanced="0">
      <fieldsUsage count="2">
        <fieldUsage x="-1"/>
        <fieldUsage x="2"/>
      </fieldsUsage>
    </cacheHierarchy>
    <cacheHierarchy uniqueName="[Hr Salary].[Gender]" caption="Gender" attribute="1" defaultMemberUniqueName="[Hr Salary].[Gender].[All]" allUniqueName="[Hr Salary].[Gender].[All]" dimensionUniqueName="[Hr Salary]" displayFolder="" count="0" memberValueDatatype="13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 Salary].[Modified Salary]" caption="Modified Salary" attribute="1" defaultMemberUniqueName="[Hr Salary].[Modified Salary].[All]" allUniqueName="[Hr Salary].[Modified Salary].[All]" dimensionUniqueName="[Hr Salary]" displayFolder="" count="0" memberValueDatatype="5"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fieldsUsage count="2">
        <fieldUsage x="-1"/>
        <fieldUsage x="3"/>
      </fieldsUsage>
    </cacheHierarchy>
    <cacheHierarchy uniqueName="[Hr Salary].[Age]" caption="Age" attribute="1" defaultMemberUniqueName="[Hr Salary].[Age].[All]" allUniqueName="[Hr Salary].[Age].[All]" dimensionUniqueName="[Hr Salary]" displayFolder="" count="0" memberValueDatatype="20" unbalanced="0" hidden="1"/>
    <cacheHierarchy uniqueName="[Hr Salary].[Employee ID]" caption="Employee ID" attribute="1" defaultMemberUniqueName="[Hr Salary].[Employee ID].[All]" allUniqueName="[Hr Salary].[Employee ID].[All]" dimensionUniqueName="[Hr Salary]" displayFolder="" count="0" memberValueDatatype="130" unbalanced="0" hidden="1"/>
    <cacheHierarchy uniqueName="[Hr Salary].[Outlier]" caption="Outlier" attribute="1" defaultMemberUniqueName="[Hr Salary].[Outlier].[All]" allUniqueName="[Hr Salary].[Outlier].[All]" dimensionUniqueName="[Hr Salary]" displayFolder="" count="0" memberValueDatatype="130" unbalanced="0" hidden="1"/>
    <cacheHierarchy uniqueName="[Hr Salary].[Salary]" caption="Salary" attribute="1" defaultMemberUniqueName="[Hr Salary].[Salary].[All]" allUniqueName="[Hr Salary].[Salary].[All]" dimensionUniqueName="[Hr Salary]" displayFolder="" count="0" memberValueDatatype="20" unbalanced="0" hidden="1"/>
    <cacheHierarchy uniqueName="[Measures].[Sum of Experience (Years)]" caption="Sum of Experience (Years)" measure="1" displayFolder="" measureGroup="Hr Salary" count="0">
      <extLst>
        <ext xmlns:x15="http://schemas.microsoft.com/office/spreadsheetml/2010/11/main" uri="{B97F6D7D-B522-45F9-BDA1-12C45D357490}">
          <x15:cacheHierarchy aggregatedColumn="4"/>
        </ext>
      </extLst>
    </cacheHierarchy>
    <cacheHierarchy uniqueName="[Measures].[Count of Job Title]" caption="Count of Job Title" measure="1" displayFolder="" measureGroup="Hr Salary" count="0">
      <extLst>
        <ext xmlns:x15="http://schemas.microsoft.com/office/spreadsheetml/2010/11/main" uri="{B97F6D7D-B522-45F9-BDA1-12C45D357490}">
          <x15:cacheHierarchy aggregatedColumn="2"/>
        </ext>
      </extLst>
    </cacheHierarchy>
    <cacheHierarchy uniqueName="[Measures].[Count of Gender]" caption="Count of Gender" measure="1" displayFolder="" measureGroup="Hr Salary" count="0">
      <extLst>
        <ext xmlns:x15="http://schemas.microsoft.com/office/spreadsheetml/2010/11/main" uri="{B97F6D7D-B522-45F9-BDA1-12C45D357490}">
          <x15:cacheHierarchy aggregatedColumn="3"/>
        </ext>
      </extLst>
    </cacheHierarchy>
    <cacheHierarchy uniqueName="[Measures].[Average of Experience (Years)]" caption="Average of Experience (Years)" measure="1" displayFolder="" measureGroup="Hr Salary" count="0">
      <extLst>
        <ext xmlns:x15="http://schemas.microsoft.com/office/spreadsheetml/2010/11/main" uri="{B97F6D7D-B522-45F9-BDA1-12C45D357490}">
          <x15:cacheHierarchy aggregatedColumn="4"/>
        </ext>
      </extLst>
    </cacheHierarchy>
    <cacheHierarchy uniqueName="[Measures].[Min of Experience (Years)]" caption="Min of Experience (Years)" measure="1" displayFolder="" measureGroup="Hr Salary" count="0">
      <extLst>
        <ext xmlns:x15="http://schemas.microsoft.com/office/spreadsheetml/2010/11/main" uri="{B97F6D7D-B522-45F9-BDA1-12C45D357490}">
          <x15:cacheHierarchy aggregatedColumn="4"/>
        </ext>
      </extLst>
    </cacheHierarchy>
    <cacheHierarchy uniqueName="[Measures].[Employees]" caption="Employees" measure="1" displayFolder="" measureGroup="Hr Salary" count="0"/>
    <cacheHierarchy uniqueName="[Measures].[Departments]" caption="Departments" measure="1" displayFolder="" measureGroup="Hr Salary" count="0"/>
    <cacheHierarchy uniqueName="[Measures].[Locations]" caption="Locations" measure="1" displayFolder="" measureGroup="Hr Salary" count="0"/>
    <cacheHierarchy uniqueName="[Measures].[Salaries]" caption="Salaries" measure="1" displayFolder="" measureGroup="Hr Salary" count="0"/>
    <cacheHierarchy uniqueName="[Measures].[Avg_Salary]" caption="Avg_Salary" measure="1" displayFolder="" measureGroup="Hr Salary" count="0" oneField="1">
      <fieldsUsage count="1">
        <fieldUsage x="0"/>
      </fieldsUsage>
    </cacheHierarchy>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osny" refreshedDate="46038.005914236113" backgroundQuery="1" createdVersion="8" refreshedVersion="8" minRefreshableVersion="3" recordCount="0" supportSubquery="1" supportAdvancedDrill="1" xr:uid="{C8CDE382-F1B0-4938-AA22-5BF6FBBE5F37}">
  <cacheSource type="external" connectionId="3"/>
  <cacheFields count="4">
    <cacheField name="[Hr Salary].[Job Title].[Job Title]" caption="Job Title" numFmtId="0" hierarchy="2" level="1">
      <sharedItems count="10">
        <s v="Data Scientist"/>
        <s v="Financial Analyst"/>
        <s v="IT Manager"/>
        <s v="Logistics Coordinator"/>
        <s v="Operations Manager"/>
        <s v="R&amp;D Manager"/>
        <s v="Research Analyst"/>
        <s v="Sales Executive"/>
        <s v="Software Engineer"/>
        <s v="System Admin"/>
      </sharedItems>
    </cacheField>
    <cacheField name="[Measures].[Average of Experience (Years)]" caption="Average of Experience (Years)" numFmtId="0" hierarchy="17" level="32767"/>
    <cacheField name="[Hr Salary].[Department].[Department]" caption="Department" numFmtId="0" hierarchy="1" level="1">
      <sharedItems containsSemiMixedTypes="0" containsNonDate="0" containsString="0"/>
    </cacheField>
    <cacheField name="[Job Class].[Job Level].[Job Level]" caption="Job Level" numFmtId="0" hierarchy="9" level="1">
      <sharedItems containsSemiMixedTypes="0" containsNonDate="0" containsString="0"/>
    </cacheField>
  </cacheFields>
  <cacheHierarchies count="27">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fieldsUsage count="2">
        <fieldUsage x="-1"/>
        <fieldUsage x="2"/>
      </fieldsUsage>
    </cacheHierarchy>
    <cacheHierarchy uniqueName="[Hr Salary].[Job Title]" caption="Job Title" attribute="1" defaultMemberUniqueName="[Hr Salary].[Job Title].[All]" allUniqueName="[Hr Salary].[Job Title].[All]" dimensionUniqueName="[Hr Salary]" displayFolder="" count="2" memberValueDatatype="130" unbalanced="0">
      <fieldsUsage count="2">
        <fieldUsage x="-1"/>
        <fieldUsage x="0"/>
      </fieldsUsage>
    </cacheHierarchy>
    <cacheHierarchy uniqueName="[Hr Salary].[Gender]" caption="Gender" attribute="1" defaultMemberUniqueName="[Hr Salary].[Gender].[All]" allUniqueName="[Hr Salary].[Gender].[All]" dimensionUniqueName="[Hr Salary]" displayFolder="" count="0" memberValueDatatype="13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 Salary].[Modified Salary]" caption="Modified Salary" attribute="1" defaultMemberUniqueName="[Hr Salary].[Modified Salary].[All]" allUniqueName="[Hr Salary].[Modified Salary].[All]" dimensionUniqueName="[Hr Salary]" displayFolder="" count="0" memberValueDatatype="5"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fieldsUsage count="2">
        <fieldUsage x="-1"/>
        <fieldUsage x="3"/>
      </fieldsUsage>
    </cacheHierarchy>
    <cacheHierarchy uniqueName="[Hr Salary].[Age]" caption="Age" attribute="1" defaultMemberUniqueName="[Hr Salary].[Age].[All]" allUniqueName="[Hr Salary].[Age].[All]" dimensionUniqueName="[Hr Salary]" displayFolder="" count="0" memberValueDatatype="20" unbalanced="0" hidden="1"/>
    <cacheHierarchy uniqueName="[Hr Salary].[Employee ID]" caption="Employee ID" attribute="1" defaultMemberUniqueName="[Hr Salary].[Employee ID].[All]" allUniqueName="[Hr Salary].[Employee ID].[All]" dimensionUniqueName="[Hr Salary]" displayFolder="" count="0" memberValueDatatype="130" unbalanced="0" hidden="1"/>
    <cacheHierarchy uniqueName="[Hr Salary].[Outlier]" caption="Outlier" attribute="1" defaultMemberUniqueName="[Hr Salary].[Outlier].[All]" allUniqueName="[Hr Salary].[Outlier].[All]" dimensionUniqueName="[Hr Salary]" displayFolder="" count="0" memberValueDatatype="130" unbalanced="0" hidden="1"/>
    <cacheHierarchy uniqueName="[Hr Salary].[Salary]" caption="Salary" attribute="1" defaultMemberUniqueName="[Hr Salary].[Salary].[All]" allUniqueName="[Hr Salary].[Salary].[All]" dimensionUniqueName="[Hr Salary]" displayFolder="" count="0" memberValueDatatype="20" unbalanced="0" hidden="1"/>
    <cacheHierarchy uniqueName="[Measures].[Sum of Experience (Years)]" caption="Sum of Experience (Years)" measure="1" displayFolder="" measureGroup="Hr Salary" count="0">
      <extLst>
        <ext xmlns:x15="http://schemas.microsoft.com/office/spreadsheetml/2010/11/main" uri="{B97F6D7D-B522-45F9-BDA1-12C45D357490}">
          <x15:cacheHierarchy aggregatedColumn="4"/>
        </ext>
      </extLst>
    </cacheHierarchy>
    <cacheHierarchy uniqueName="[Measures].[Count of Job Title]" caption="Count of Job Title" measure="1" displayFolder="" measureGroup="Hr Salary" count="0">
      <extLst>
        <ext xmlns:x15="http://schemas.microsoft.com/office/spreadsheetml/2010/11/main" uri="{B97F6D7D-B522-45F9-BDA1-12C45D357490}">
          <x15:cacheHierarchy aggregatedColumn="2"/>
        </ext>
      </extLst>
    </cacheHierarchy>
    <cacheHierarchy uniqueName="[Measures].[Count of Gender]" caption="Count of Gender" measure="1" displayFolder="" measureGroup="Hr Salary" count="0">
      <extLst>
        <ext xmlns:x15="http://schemas.microsoft.com/office/spreadsheetml/2010/11/main" uri="{B97F6D7D-B522-45F9-BDA1-12C45D357490}">
          <x15:cacheHierarchy aggregatedColumn="3"/>
        </ext>
      </extLst>
    </cacheHierarchy>
    <cacheHierarchy uniqueName="[Measures].[Average of Experience (Years)]" caption="Average of Experience (Years)" measure="1" displayFolder="" measureGroup="Hr Salary" count="0" oneField="1">
      <fieldsUsage count="1">
        <fieldUsage x="1"/>
      </fieldsUsage>
      <extLst>
        <ext xmlns:x15="http://schemas.microsoft.com/office/spreadsheetml/2010/11/main" uri="{B97F6D7D-B522-45F9-BDA1-12C45D357490}">
          <x15:cacheHierarchy aggregatedColumn="4"/>
        </ext>
      </extLst>
    </cacheHierarchy>
    <cacheHierarchy uniqueName="[Measures].[Min of Experience (Years)]" caption="Min of Experience (Years)" measure="1" displayFolder="" measureGroup="Hr Salary" count="0">
      <extLst>
        <ext xmlns:x15="http://schemas.microsoft.com/office/spreadsheetml/2010/11/main" uri="{B97F6D7D-B522-45F9-BDA1-12C45D357490}">
          <x15:cacheHierarchy aggregatedColumn="4"/>
        </ext>
      </extLst>
    </cacheHierarchy>
    <cacheHierarchy uniqueName="[Measures].[Employees]" caption="Employees" measure="1" displayFolder="" measureGroup="Hr Salary" count="0"/>
    <cacheHierarchy uniqueName="[Measures].[Departments]" caption="Departments" measure="1" displayFolder="" measureGroup="Hr Salary" count="0"/>
    <cacheHierarchy uniqueName="[Measures].[Locations]" caption="Locations" measure="1" displayFolder="" measureGroup="Hr Salary" count="0"/>
    <cacheHierarchy uniqueName="[Measures].[Salaries]" caption="Salaries" measure="1" displayFolder="" measureGroup="Hr Salary" count="0"/>
    <cacheHierarchy uniqueName="[Measures].[Avg_Salary]" caption="Avg_Salary" measure="1" displayFolder="" measureGroup="Hr Salary" count="0"/>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osny" refreshedDate="46038.005915277776" backgroundQuery="1" createdVersion="8" refreshedVersion="8" minRefreshableVersion="3" recordCount="0" supportSubquery="1" supportAdvancedDrill="1" xr:uid="{2D8F5605-BAB6-48AB-B682-D71B9C3F3575}">
  <cacheSource type="external" connectionId="3"/>
  <cacheFields count="4">
    <cacheField name="[Measures].[Avg_Salary]" caption="Avg_Salary" numFmtId="0" hierarchy="23" level="32767"/>
    <cacheField name="[Hr Salary].[Job Title].[Job Title]" caption="Job Title" numFmtId="0" hierarchy="2" level="1">
      <sharedItems count="10">
        <s v="Data Scientist"/>
        <s v="Financial Analyst"/>
        <s v="IT Manager"/>
        <s v="Logistics Coordinator"/>
        <s v="Operations Manager"/>
        <s v="R&amp;D Manager"/>
        <s v="Research Analyst"/>
        <s v="Sales Executive"/>
        <s v="Software Engineer"/>
        <s v="System Admin"/>
      </sharedItems>
    </cacheField>
    <cacheField name="[Hr Salary].[Department].[Department]" caption="Department" numFmtId="0" hierarchy="1" level="1">
      <sharedItems containsSemiMixedTypes="0" containsNonDate="0" containsString="0"/>
    </cacheField>
    <cacheField name="[Job Class].[Job Level].[Job Level]" caption="Job Level" numFmtId="0" hierarchy="9" level="1">
      <sharedItems containsSemiMixedTypes="0" containsNonDate="0" containsString="0"/>
    </cacheField>
  </cacheFields>
  <cacheHierarchies count="27">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fieldsUsage count="2">
        <fieldUsage x="-1"/>
        <fieldUsage x="2"/>
      </fieldsUsage>
    </cacheHierarchy>
    <cacheHierarchy uniqueName="[Hr Salary].[Job Title]" caption="Job Title" attribute="1" defaultMemberUniqueName="[Hr Salary].[Job Title].[All]" allUniqueName="[Hr Salary].[Job Title].[All]" dimensionUniqueName="[Hr Salary]" displayFolder="" count="2" memberValueDatatype="130" unbalanced="0">
      <fieldsUsage count="2">
        <fieldUsage x="-1"/>
        <fieldUsage x="1"/>
      </fieldsUsage>
    </cacheHierarchy>
    <cacheHierarchy uniqueName="[Hr Salary].[Gender]" caption="Gender" attribute="1" defaultMemberUniqueName="[Hr Salary].[Gender].[All]" allUniqueName="[Hr Salary].[Gender].[All]" dimensionUniqueName="[Hr Salary]" displayFolder="" count="0" memberValueDatatype="13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 Salary].[Modified Salary]" caption="Modified Salary" attribute="1" defaultMemberUniqueName="[Hr Salary].[Modified Salary].[All]" allUniqueName="[Hr Salary].[Modified Salary].[All]" dimensionUniqueName="[Hr Salary]" displayFolder="" count="0" memberValueDatatype="5"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fieldsUsage count="2">
        <fieldUsage x="-1"/>
        <fieldUsage x="3"/>
      </fieldsUsage>
    </cacheHierarchy>
    <cacheHierarchy uniqueName="[Hr Salary].[Age]" caption="Age" attribute="1" defaultMemberUniqueName="[Hr Salary].[Age].[All]" allUniqueName="[Hr Salary].[Age].[All]" dimensionUniqueName="[Hr Salary]" displayFolder="" count="0" memberValueDatatype="20" unbalanced="0" hidden="1"/>
    <cacheHierarchy uniqueName="[Hr Salary].[Employee ID]" caption="Employee ID" attribute="1" defaultMemberUniqueName="[Hr Salary].[Employee ID].[All]" allUniqueName="[Hr Salary].[Employee ID].[All]" dimensionUniqueName="[Hr Salary]" displayFolder="" count="0" memberValueDatatype="130" unbalanced="0" hidden="1"/>
    <cacheHierarchy uniqueName="[Hr Salary].[Outlier]" caption="Outlier" attribute="1" defaultMemberUniqueName="[Hr Salary].[Outlier].[All]" allUniqueName="[Hr Salary].[Outlier].[All]" dimensionUniqueName="[Hr Salary]" displayFolder="" count="0" memberValueDatatype="130" unbalanced="0" hidden="1"/>
    <cacheHierarchy uniqueName="[Hr Salary].[Salary]" caption="Salary" attribute="1" defaultMemberUniqueName="[Hr Salary].[Salary].[All]" allUniqueName="[Hr Salary].[Salary].[All]" dimensionUniqueName="[Hr Salary]" displayFolder="" count="0" memberValueDatatype="20" unbalanced="0" hidden="1"/>
    <cacheHierarchy uniqueName="[Measures].[Sum of Experience (Years)]" caption="Sum of Experience (Years)" measure="1" displayFolder="" measureGroup="Hr Salary" count="0">
      <extLst>
        <ext xmlns:x15="http://schemas.microsoft.com/office/spreadsheetml/2010/11/main" uri="{B97F6D7D-B522-45F9-BDA1-12C45D357490}">
          <x15:cacheHierarchy aggregatedColumn="4"/>
        </ext>
      </extLst>
    </cacheHierarchy>
    <cacheHierarchy uniqueName="[Measures].[Count of Job Title]" caption="Count of Job Title" measure="1" displayFolder="" measureGroup="Hr Salary" count="0">
      <extLst>
        <ext xmlns:x15="http://schemas.microsoft.com/office/spreadsheetml/2010/11/main" uri="{B97F6D7D-B522-45F9-BDA1-12C45D357490}">
          <x15:cacheHierarchy aggregatedColumn="2"/>
        </ext>
      </extLst>
    </cacheHierarchy>
    <cacheHierarchy uniqueName="[Measures].[Count of Gender]" caption="Count of Gender" measure="1" displayFolder="" measureGroup="Hr Salary" count="0">
      <extLst>
        <ext xmlns:x15="http://schemas.microsoft.com/office/spreadsheetml/2010/11/main" uri="{B97F6D7D-B522-45F9-BDA1-12C45D357490}">
          <x15:cacheHierarchy aggregatedColumn="3"/>
        </ext>
      </extLst>
    </cacheHierarchy>
    <cacheHierarchy uniqueName="[Measures].[Average of Experience (Years)]" caption="Average of Experience (Years)" measure="1" displayFolder="" measureGroup="Hr Salary" count="0">
      <extLst>
        <ext xmlns:x15="http://schemas.microsoft.com/office/spreadsheetml/2010/11/main" uri="{B97F6D7D-B522-45F9-BDA1-12C45D357490}">
          <x15:cacheHierarchy aggregatedColumn="4"/>
        </ext>
      </extLst>
    </cacheHierarchy>
    <cacheHierarchy uniqueName="[Measures].[Min of Experience (Years)]" caption="Min of Experience (Years)" measure="1" displayFolder="" measureGroup="Hr Salary" count="0">
      <extLst>
        <ext xmlns:x15="http://schemas.microsoft.com/office/spreadsheetml/2010/11/main" uri="{B97F6D7D-B522-45F9-BDA1-12C45D357490}">
          <x15:cacheHierarchy aggregatedColumn="4"/>
        </ext>
      </extLst>
    </cacheHierarchy>
    <cacheHierarchy uniqueName="[Measures].[Employees]" caption="Employees" measure="1" displayFolder="" measureGroup="Hr Salary" count="0"/>
    <cacheHierarchy uniqueName="[Measures].[Departments]" caption="Departments" measure="1" displayFolder="" measureGroup="Hr Salary" count="0"/>
    <cacheHierarchy uniqueName="[Measures].[Locations]" caption="Locations" measure="1" displayFolder="" measureGroup="Hr Salary" count="0"/>
    <cacheHierarchy uniqueName="[Measures].[Salaries]" caption="Salaries" measure="1" displayFolder="" measureGroup="Hr Salary" count="0"/>
    <cacheHierarchy uniqueName="[Measures].[Avg_Salary]" caption="Avg_Salary" measure="1" displayFolder="" measureGroup="Hr Salary" count="0" oneField="1">
      <fieldsUsage count="1">
        <fieldUsage x="0"/>
      </fieldsUsage>
    </cacheHierarchy>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osny" refreshedDate="46038.005904166668" backgroundQuery="1" createdVersion="3" refreshedVersion="8" minRefreshableVersion="3" recordCount="0" supportSubquery="1" supportAdvancedDrill="1" xr:uid="{B0F9DCD6-EE91-4E9E-A849-D359A50D06EB}">
  <cacheSource type="external" connectionId="3">
    <extLst>
      <ext xmlns:x14="http://schemas.microsoft.com/office/spreadsheetml/2009/9/main" uri="{F057638F-6D5F-4e77-A914-E7F072B9BCA8}">
        <x14:sourceConnection name="ThisWorkbookDataModel"/>
      </ext>
    </extLst>
  </cacheSource>
  <cacheFields count="0"/>
  <cacheHierarchies count="27">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cacheHierarchy uniqueName="[Hr Salary].[Job Title]" caption="Job Title" attribute="1" defaultMemberUniqueName="[Hr Salary].[Job Title].[All]" allUniqueName="[Hr Salary].[Job Title].[All]" dimensionUniqueName="[Hr Salary]" displayFolder="" count="2" memberValueDatatype="130" unbalanced="0"/>
    <cacheHierarchy uniqueName="[Hr Salary].[Gender]" caption="Gender" attribute="1" defaultMemberUniqueName="[Hr Salary].[Gender].[All]" allUniqueName="[Hr Salary].[Gender].[All]" dimensionUniqueName="[Hr Salary]" displayFolder="" count="0" memberValueDatatype="13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 Salary].[Modified Salary]" caption="Modified Salary" attribute="1" defaultMemberUniqueName="[Hr Salary].[Modified Salary].[All]" allUniqueName="[Hr Salary].[Modified Salary].[All]" dimensionUniqueName="[Hr Salary]" displayFolder="" count="0" memberValueDatatype="5"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cacheHierarchy uniqueName="[Hr Salary].[Age]" caption="Age" attribute="1" defaultMemberUniqueName="[Hr Salary].[Age].[All]" allUniqueName="[Hr Salary].[Age].[All]" dimensionUniqueName="[Hr Salary]" displayFolder="" count="0" memberValueDatatype="20" unbalanced="0" hidden="1"/>
    <cacheHierarchy uniqueName="[Hr Salary].[Employee ID]" caption="Employee ID" attribute="1" defaultMemberUniqueName="[Hr Salary].[Employee ID].[All]" allUniqueName="[Hr Salary].[Employee ID].[All]" dimensionUniqueName="[Hr Salary]" displayFolder="" count="0" memberValueDatatype="130" unbalanced="0" hidden="1"/>
    <cacheHierarchy uniqueName="[Hr Salary].[Outlier]" caption="Outlier" attribute="1" defaultMemberUniqueName="[Hr Salary].[Outlier].[All]" allUniqueName="[Hr Salary].[Outlier].[All]" dimensionUniqueName="[Hr Salary]" displayFolder="" count="0" memberValueDatatype="130" unbalanced="0" hidden="1"/>
    <cacheHierarchy uniqueName="[Hr Salary].[Salary]" caption="Salary" attribute="1" defaultMemberUniqueName="[Hr Salary].[Salary].[All]" allUniqueName="[Hr Salary].[Salary].[All]" dimensionUniqueName="[Hr Salary]" displayFolder="" count="0" memberValueDatatype="20" unbalanced="0" hidden="1"/>
    <cacheHierarchy uniqueName="[Measures].[Sum of Experience (Years)]" caption="Sum of Experience (Years)" measure="1" displayFolder="" measureGroup="Hr Salary" count="0">
      <extLst>
        <ext xmlns:x15="http://schemas.microsoft.com/office/spreadsheetml/2010/11/main" uri="{B97F6D7D-B522-45F9-BDA1-12C45D357490}">
          <x15:cacheHierarchy aggregatedColumn="4"/>
        </ext>
      </extLst>
    </cacheHierarchy>
    <cacheHierarchy uniqueName="[Measures].[Count of Job Title]" caption="Count of Job Title" measure="1" displayFolder="" measureGroup="Hr Salary" count="0">
      <extLst>
        <ext xmlns:x15="http://schemas.microsoft.com/office/spreadsheetml/2010/11/main" uri="{B97F6D7D-B522-45F9-BDA1-12C45D357490}">
          <x15:cacheHierarchy aggregatedColumn="2"/>
        </ext>
      </extLst>
    </cacheHierarchy>
    <cacheHierarchy uniqueName="[Measures].[Count of Gender]" caption="Count of Gender" measure="1" displayFolder="" measureGroup="Hr Salary" count="0">
      <extLst>
        <ext xmlns:x15="http://schemas.microsoft.com/office/spreadsheetml/2010/11/main" uri="{B97F6D7D-B522-45F9-BDA1-12C45D357490}">
          <x15:cacheHierarchy aggregatedColumn="3"/>
        </ext>
      </extLst>
    </cacheHierarchy>
    <cacheHierarchy uniqueName="[Measures].[Average of Experience (Years)]" caption="Average of Experience (Years)" measure="1" displayFolder="" measureGroup="Hr Salary" count="0">
      <extLst>
        <ext xmlns:x15="http://schemas.microsoft.com/office/spreadsheetml/2010/11/main" uri="{B97F6D7D-B522-45F9-BDA1-12C45D357490}">
          <x15:cacheHierarchy aggregatedColumn="4"/>
        </ext>
      </extLst>
    </cacheHierarchy>
    <cacheHierarchy uniqueName="[Measures].[Min of Experience (Years)]" caption="Min of Experience (Years)" measure="1" displayFolder="" measureGroup="Hr Salary" count="0">
      <extLst>
        <ext xmlns:x15="http://schemas.microsoft.com/office/spreadsheetml/2010/11/main" uri="{B97F6D7D-B522-45F9-BDA1-12C45D357490}">
          <x15:cacheHierarchy aggregatedColumn="4"/>
        </ext>
      </extLst>
    </cacheHierarchy>
    <cacheHierarchy uniqueName="[Measures].[Employees]" caption="Employees" measure="1" displayFolder="" measureGroup="Hr Salary" count="0"/>
    <cacheHierarchy uniqueName="[Measures].[Departments]" caption="Departments" measure="1" displayFolder="" measureGroup="Hr Salary" count="0"/>
    <cacheHierarchy uniqueName="[Measures].[Locations]" caption="Locations" measure="1" displayFolder="" measureGroup="Hr Salary" count="0"/>
    <cacheHierarchy uniqueName="[Measures].[Salaries]" caption="Salaries" measure="1" displayFolder="" measureGroup="Hr Salary" count="0"/>
    <cacheHierarchy uniqueName="[Measures].[Avg_Salary]" caption="Avg_Salary" measure="1" displayFolder="" measureGroup="Hr Salary" count="0"/>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905173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AC752F-FD37-41FA-BB2B-948B1B79FF5C}" name="PivotTable10" cacheId="469" applyNumberFormats="0" applyBorderFormats="0" applyFontFormats="0" applyPatternFormats="0" applyAlignmentFormats="0" applyWidthHeightFormats="1" dataCaption="Values" tag="85794999-6f5c-4508-8c40-802f047da3fc" updatedVersion="8" minRefreshableVersion="3" useAutoFormatting="1" subtotalHiddenItems="1" itemPrintTitles="1" createdVersion="8" indent="0" outline="1" outlineData="1" multipleFieldFilters="0" chartFormat="43">
  <location ref="L22:M33" firstHeaderRow="1"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Average of Experience (Years)" fld="1" subtotal="average" baseField="0" baseItem="0" numFmtId="1"/>
  </dataFields>
  <chartFormats count="1">
    <chartFormat chart="41" format="2"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Average of Experience (Years)"/>
    <pivotHierarchy dragToData="1" caption="Min of Experience (Yea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5"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activeTabTopLevelEntity name="[Job Clas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AD5B29-2C9F-4CDA-971D-8DFD6EBA01C0}" name="PivotTable9" cacheId="472" applyNumberFormats="0" applyBorderFormats="0" applyFontFormats="0" applyPatternFormats="0" applyAlignmentFormats="0" applyWidthHeightFormats="1" dataCaption="Values" tag="d1ebce80-f67a-4a29-8d8c-63de76798770" updatedVersion="8" minRefreshableVersion="3" useAutoFormatting="1" subtotalHiddenItems="1" itemPrintTitles="1" createdVersion="8" indent="0" outline="1" outlineData="1" multipleFieldFilters="0" chartFormat="8">
  <location ref="L5:M16" firstHeaderRow="1" firstDataRow="1" firstDataCol="1"/>
  <pivotFields count="4">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fld="0" subtotal="count" baseField="0" baseItem="0"/>
  </dataFields>
  <chartFormats count="3">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5" showRowHeaders="1" showColHeaders="1" showRowStripes="0" showColStripes="0" showLastColumn="1"/>
  <filters count="1">
    <filter fld="1" type="count" id="1" iMeasureHier="2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activeTabTopLevelEntity name="[Job Clas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6D5555-EA7C-44D0-A567-9FA08B444297}" name="PivotTable8" cacheId="466" applyNumberFormats="0" applyBorderFormats="0" applyFontFormats="0" applyPatternFormats="0" applyAlignmentFormats="0" applyWidthHeightFormats="1" dataCaption="Values" tag="a9056661-272d-4a07-a244-52192ae991f2" updatedVersion="8" minRefreshableVersion="3" useAutoFormatting="1" itemPrintTitles="1" createdVersion="8" indent="0" outline="1" outlineData="1" multipleFieldFilters="0" chartFormat="7">
  <location ref="H19:I27" firstHeaderRow="1" firstDataRow="1" firstDataCol="1"/>
  <pivotFields count="4">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fld="0"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5"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0623FC-D3C1-4497-A75A-3CBF8FD6502F}" name="PivotTable7" cacheId="463" applyNumberFormats="0" applyBorderFormats="0" applyFontFormats="0" applyPatternFormats="0" applyAlignmentFormats="0" applyWidthHeightFormats="1" dataCaption="Values" tag="26c4a8bc-df1c-46fc-830d-dcf7ccc2b0ac" updatedVersion="8" minRefreshableVersion="3" useAutoFormatting="1" itemPrintTitles="1" createdVersion="8" indent="0" outline="1" outlineData="1" multipleFieldFilters="0" chartFormat="9">
  <location ref="D19:E56" firstHeaderRow="1" firstDataRow="1" firstDataCol="1"/>
  <pivotFields count="5">
    <pivotField dataField="1" subtotalTop="0" showAll="0" defaultSubtotal="0"/>
    <pivotField axis="axisRow" allDrilled="1" subtotalTop="0" showAll="0" sortType="ascending"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fld="0"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5"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activeTabTopLevelEntity name="[Job Clas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1FF7C9-F886-4292-847E-BF0FF44B3668}" name="PivotTable6" cacheId="460" applyNumberFormats="0" applyBorderFormats="0" applyFontFormats="0" applyPatternFormats="0" applyAlignmentFormats="0" applyWidthHeightFormats="1" dataCaption="Values" tag="173e7708-f12f-4bbf-97f7-51aa48e6eaf3" updatedVersion="8" minRefreshableVersion="3" useAutoFormatting="1" itemPrintTitles="1" createdVersion="8" indent="0" outline="1" outlineData="1" multipleFieldFilters="0" chartFormat="16">
  <location ref="H5:I10" firstHeaderRow="1" firstDataRow="1" firstDataCol="1"/>
  <pivotFields count="5">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1">
    <chartFormat chart="14" format="2"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5"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CA2342-E38D-4306-B1DB-10516110C5FB}" name="PivotTable5" cacheId="457" applyNumberFormats="0" applyBorderFormats="0" applyFontFormats="0" applyPatternFormats="0" applyAlignmentFormats="0" applyWidthHeightFormats="1" dataCaption="Values" tag="dd759eb7-9dd0-43e7-9668-12748a907101" updatedVersion="8" minRefreshableVersion="3" useAutoFormatting="1" itemPrintTitles="1" createdVersion="8" indent="0" outline="1" outlineData="1" multipleFieldFilters="0" chartFormat="8">
  <location ref="D5:E13" firstHeaderRow="1" firstDataRow="1" firstDataCol="1"/>
  <pivotFields count="5">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v="4"/>
    </i>
    <i>
      <x v="2"/>
    </i>
    <i>
      <x/>
    </i>
    <i>
      <x v="6"/>
    </i>
    <i>
      <x v="1"/>
    </i>
    <i>
      <x v="5"/>
    </i>
    <i>
      <x v="3"/>
    </i>
    <i t="grand">
      <x/>
    </i>
  </rowItems>
  <colItems count="1">
    <i/>
  </colItems>
  <dataFields count="1">
    <dataField fld="1"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5"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F30000-8F2B-4A4B-9680-EE755D3801A1}" name="PivotTable4" cacheId="454" applyNumberFormats="0" applyBorderFormats="0" applyFontFormats="0" applyPatternFormats="0" applyAlignmentFormats="0" applyWidthHeightFormats="1" dataCaption="Values" tag="bd87a56d-1dd7-4f84-acd1-17e8147beaa6" updatedVersion="8" minRefreshableVersion="3" useAutoFormatting="1" itemPrintTitles="1" createdVersion="8" indent="0" outline="1" outlineData="1" multipleFieldFilters="0">
  <location ref="A19:A20"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27">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90DC5A-31CC-459C-8612-9D3FE995217E}" name="PivotTable3" cacheId="451" applyNumberFormats="0" applyBorderFormats="0" applyFontFormats="0" applyPatternFormats="0" applyAlignmentFormats="0" applyWidthHeightFormats="1" dataCaption="Values" tag="e29944f1-5c6e-41b2-8f4d-cd0a2009790c" updatedVersion="8" minRefreshableVersion="3" useAutoFormatting="1" itemPrintTitles="1" createdVersion="8" indent="0" outline="1" outlineData="1" multipleFieldFilters="0">
  <location ref="A14:A15"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27">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C575D1C-E443-475E-93E5-ADAC436893BA}" name="PivotTable2" cacheId="448" applyNumberFormats="0" applyBorderFormats="0" applyFontFormats="0" applyPatternFormats="0" applyAlignmentFormats="0" applyWidthHeightFormats="1" dataCaption="Values" tag="2c7755d1-a608-47be-8b87-cfb28bce0665" updatedVersion="8" minRefreshableVersion="3" useAutoFormatting="1" itemPrintTitles="1" createdVersion="8" indent="0" outline="1" outlineData="1" multipleFieldFilters="0">
  <location ref="A9:A10"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27">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A33F2ED-ADF2-4D59-95BC-55ACCEB95014}" name="PivotTable1" cacheId="445" applyNumberFormats="0" applyBorderFormats="0" applyFontFormats="0" applyPatternFormats="0" applyAlignmentFormats="0" applyWidthHeightFormats="1" dataCaption="Values" tag="65814b97-5d8a-4430-b2d6-f25ee8052366" updatedVersion="8" minRefreshableVersion="3" useAutoFormatting="1" subtotalHiddenItems="1" itemPrintTitles="1" createdVersion="8" indent="0" outline="1" outlineData="1" multipleFieldFilters="0">
  <location ref="A4:A5"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27">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activeTabTopLevelEntity name="[Job Clas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E5177BE8-0634-48C8-A432-3BDD418D520C}" sourceName="[Hr Salary].[Job Title]">
  <pivotTables>
    <pivotTable tabId="1" name="PivotTable9"/>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10"/>
  </pivotTables>
  <data>
    <olap pivotCacheId="199051736">
      <levels count="2">
        <level uniqueName="[Hr Salary].[Job Title].[(All)]" sourceCaption="(All)" count="0"/>
        <level uniqueName="[Hr Salary].[Job Title].[Job Title]" sourceCaption="Job Title" count="21">
          <ranges>
            <range startItem="0">
              <i n="[Hr Salary].[Job Title].&amp;[Account Manager]" c="Account Manager"/>
              <i n="[Hr Salary].[Job Title].&amp;[Accountant]" c="Accountant"/>
              <i n="[Hr Salary].[Job Title].&amp;[Data Scientist]" c="Data Scientist"/>
              <i n="[Hr Salary].[Job Title].&amp;[Finance Manager]" c="Finance Manager"/>
              <i n="[Hr Salary].[Job Title].&amp;[Financial Analyst]" c="Financial Analyst"/>
              <i n="[Hr Salary].[Job Title].&amp;[HR Assistant]" c="HR Assistant"/>
              <i n="[Hr Salary].[Job Title].&amp;[HR Manager]" c="HR Manager"/>
              <i n="[Hr Salary].[Job Title].&amp;[IT Manager]" c="IT Manager"/>
              <i n="[Hr Salary].[Job Title].&amp;[Logistics Coordinator]" c="Logistics Coordinator"/>
              <i n="[Hr Salary].[Job Title].&amp;[Marketing Executive]" c="Marketing Executive"/>
              <i n="[Hr Salary].[Job Title].&amp;[Marketing Manager]" c="Marketing Manager"/>
              <i n="[Hr Salary].[Job Title].&amp;[Operations Executive]" c="Operations Executive"/>
              <i n="[Hr Salary].[Job Title].&amp;[Operations Manager]" c="Operations Manager"/>
              <i n="[Hr Salary].[Job Title].&amp;[R&amp;D Manager]" c="R&amp;D Manager"/>
              <i n="[Hr Salary].[Job Title].&amp;[Recruiter]" c="Recruiter"/>
              <i n="[Hr Salary].[Job Title].&amp;[Research Analyst]" c="Research Analyst"/>
              <i n="[Hr Salary].[Job Title].&amp;[Sales Executive]" c="Sales Executive"/>
              <i n="[Hr Salary].[Job Title].&amp;[Sales Manager]" c="Sales Manager"/>
              <i n="[Hr Salary].[Job Title].&amp;[SEO Specialist]" c="SEO Specialist"/>
              <i n="[Hr Salary].[Job Title].&amp;[Software Engineer]" c="Software Engineer"/>
              <i n="[Hr Salary].[Job Title].&amp;[System Admin]" c="System Admin"/>
            </range>
          </ranges>
        </level>
      </levels>
      <selections count="1">
        <selection n="[Hr Salary].[Job Titl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3D6DE7A-8C15-4BBF-973A-8F5BB4CF4D80}" sourceName="[Hr Salary].[Department]">
  <pivotTables>
    <pivotTable tabId="1" name="PivotTable9"/>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10"/>
  </pivotTables>
  <data>
    <olap pivotCacheId="199051736">
      <levels count="2">
        <level uniqueName="[Hr Salary].[Department].[(All)]" sourceCaption="(All)" count="0"/>
        <level uniqueName="[Hr Salary].[Department].[Department]" sourceCaption="Department" count="7">
          <ranges>
            <range startItem="0">
              <i n="[Hr Salary].[Department].&amp;[Finance]" c="Finance"/>
              <i n="[Hr Salary].[Department].&amp;[HR]" c="HR"/>
              <i n="[Hr Salary].[Department].&amp;[IT]" c="IT"/>
              <i n="[Hr Salary].[Department].&amp;[Marketing]" c="Marketing"/>
              <i n="[Hr Salary].[Department].&amp;[Operations]" c="Operations"/>
              <i n="[Hr Salary].[Department].&amp;[R&amp;D]" c="R&amp;D"/>
              <i n="[Hr Salary].[Department].&amp;[Sales]" c="Sales"/>
            </range>
          </ranges>
        </level>
      </levels>
      <selections count="1">
        <selection n="[Hr Salary].[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Level" xr10:uid="{1D8C835B-CC4D-4CA8-9A23-93E58F8263ED}" sourceName="[Job Class].[Job Level]">
  <pivotTables>
    <pivotTable tabId="1" name="PivotTable9"/>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10"/>
  </pivotTables>
  <data>
    <olap pivotCacheId="199051736">
      <levels count="2">
        <level uniqueName="[Job Class].[Job Level].[(All)]" sourceCaption="(All)" count="0"/>
        <level uniqueName="[Job Class].[Job Level].[Job Level]" sourceCaption="Job Level" count="3">
          <ranges>
            <range startItem="0">
              <i n="[Job Class].[Job Level].&amp;[Entry Level]" c="Entry Level"/>
              <i n="[Job Class].[Job Level].&amp;[Manager]" c="Manager"/>
              <i n="[Job Class].[Job Level].&amp;[Mid Level]" c="Mid Level"/>
            </range>
          </ranges>
        </level>
      </levels>
      <selections count="1">
        <selection n="[Job Class].[Job Lev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itle" xr10:uid="{ACA83ABD-A124-430A-84A1-77185B8CE4BE}" cache="Slicer_Job_Title" caption="Job Title" columnCount="3" level="1" style="SlicerStyleOther2" rowHeight="320675"/>
  <slicer name="Department" xr10:uid="{C7B98178-91E9-4FF4-84EC-52170A0B4130}" cache="Slicer_Department" caption="Department" columnCount="2" level="1" style="SlicerStyleOther2" rowHeight="320675"/>
  <slicer name="Job Level" xr10:uid="{7C2E12EC-2892-4032-AF9D-927AF7920EC8}" cache="Slicer_Job_Level" caption="Job Level" level="1" style="SlicerStyleOther2" rowHeight="3206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6A830-8965-4651-A4EB-9A5F462E2573}">
  <dimension ref="A1:M56"/>
  <sheetViews>
    <sheetView topLeftCell="A34" zoomScaleNormal="100" workbookViewId="0">
      <selection activeCell="H46" sqref="H46"/>
    </sheetView>
  </sheetViews>
  <sheetFormatPr defaultRowHeight="18.75" x14ac:dyDescent="0.3"/>
  <cols>
    <col min="1" max="1" width="11.19921875" bestFit="1" customWidth="1"/>
    <col min="4" max="4" width="11.3984375" bestFit="1" customWidth="1"/>
    <col min="5" max="5" width="9.19921875" bestFit="1" customWidth="1"/>
    <col min="8" max="8" width="11.3984375" bestFit="1" customWidth="1"/>
    <col min="9" max="9" width="9.19921875" bestFit="1" customWidth="1"/>
    <col min="12" max="12" width="17.5" bestFit="1" customWidth="1"/>
    <col min="13" max="13" width="9.19921875" bestFit="1" customWidth="1"/>
  </cols>
  <sheetData>
    <row r="1" spans="1:13" x14ac:dyDescent="0.3">
      <c r="A1" t="s">
        <v>0</v>
      </c>
    </row>
    <row r="3" spans="1:13" x14ac:dyDescent="0.3">
      <c r="A3" t="s">
        <v>1</v>
      </c>
    </row>
    <row r="4" spans="1:13" x14ac:dyDescent="0.3">
      <c r="A4" t="s">
        <v>2</v>
      </c>
      <c r="D4" t="s">
        <v>9</v>
      </c>
      <c r="H4" t="s">
        <v>20</v>
      </c>
      <c r="L4" t="s">
        <v>34</v>
      </c>
    </row>
    <row r="5" spans="1:13" x14ac:dyDescent="0.3">
      <c r="A5" s="1">
        <v>4962657</v>
      </c>
      <c r="D5" s="2" t="s">
        <v>10</v>
      </c>
      <c r="E5" t="s">
        <v>19</v>
      </c>
      <c r="H5" s="2" t="s">
        <v>10</v>
      </c>
      <c r="I5" t="s">
        <v>19</v>
      </c>
      <c r="L5" s="2" t="s">
        <v>10</v>
      </c>
      <c r="M5" t="s">
        <v>19</v>
      </c>
    </row>
    <row r="6" spans="1:13" x14ac:dyDescent="0.3">
      <c r="D6" s="4" t="s">
        <v>15</v>
      </c>
      <c r="E6" s="1">
        <v>9624.4025974025972</v>
      </c>
      <c r="H6" s="4" t="s">
        <v>21</v>
      </c>
      <c r="I6" s="1">
        <v>9816.6832061068708</v>
      </c>
      <c r="L6" s="4" t="s">
        <v>35</v>
      </c>
      <c r="M6" s="1">
        <v>12049.6</v>
      </c>
    </row>
    <row r="7" spans="1:13" x14ac:dyDescent="0.3">
      <c r="D7" s="4" t="s">
        <v>13</v>
      </c>
      <c r="E7" s="1">
        <v>9648.4696969696961</v>
      </c>
      <c r="H7" s="4" t="s">
        <v>22</v>
      </c>
      <c r="I7" s="1">
        <v>9952.0666666666675</v>
      </c>
      <c r="L7" s="4" t="s">
        <v>36</v>
      </c>
      <c r="M7" s="1">
        <v>10236.5</v>
      </c>
    </row>
    <row r="8" spans="1:13" x14ac:dyDescent="0.3">
      <c r="A8" t="s">
        <v>3</v>
      </c>
      <c r="D8" s="4" t="s">
        <v>11</v>
      </c>
      <c r="E8" s="1">
        <v>9730.8533333333326</v>
      </c>
      <c r="H8" s="4" t="s">
        <v>23</v>
      </c>
      <c r="I8" s="1">
        <v>10197.954128440368</v>
      </c>
      <c r="L8" s="4" t="s">
        <v>37</v>
      </c>
      <c r="M8" s="1">
        <v>11926.208333333334</v>
      </c>
    </row>
    <row r="9" spans="1:13" x14ac:dyDescent="0.3">
      <c r="A9" t="s">
        <v>4</v>
      </c>
      <c r="D9" s="4" t="s">
        <v>17</v>
      </c>
      <c r="E9" s="1">
        <v>9805.9324324324316</v>
      </c>
      <c r="H9" s="4" t="s">
        <v>24</v>
      </c>
      <c r="I9" s="1">
        <v>9755.9166666666661</v>
      </c>
      <c r="L9" s="4" t="s">
        <v>38</v>
      </c>
      <c r="M9" s="1">
        <v>9542.3214285714294</v>
      </c>
    </row>
    <row r="10" spans="1:13" x14ac:dyDescent="0.3">
      <c r="A10" s="3">
        <v>500</v>
      </c>
      <c r="D10" s="4" t="s">
        <v>12</v>
      </c>
      <c r="E10" s="1">
        <v>9926.818181818182</v>
      </c>
      <c r="H10" s="4" t="s">
        <v>18</v>
      </c>
      <c r="I10" s="1">
        <v>9925.3140000000003</v>
      </c>
      <c r="L10" s="4" t="s">
        <v>39</v>
      </c>
      <c r="M10" s="1">
        <v>9471.173913043478</v>
      </c>
    </row>
    <row r="11" spans="1:13" x14ac:dyDescent="0.3">
      <c r="D11" s="4" t="s">
        <v>16</v>
      </c>
      <c r="E11" s="1">
        <v>10275.313432835821</v>
      </c>
      <c r="L11" s="4" t="s">
        <v>40</v>
      </c>
      <c r="M11" s="1">
        <v>12414.541666666666</v>
      </c>
    </row>
    <row r="12" spans="1:13" x14ac:dyDescent="0.3">
      <c r="D12" s="4" t="s">
        <v>14</v>
      </c>
      <c r="E12" s="1">
        <v>10570.546875</v>
      </c>
      <c r="L12" s="4" t="s">
        <v>41</v>
      </c>
      <c r="M12" s="1">
        <v>10707.2</v>
      </c>
    </row>
    <row r="13" spans="1:13" x14ac:dyDescent="0.3">
      <c r="A13" t="s">
        <v>6</v>
      </c>
      <c r="D13" s="4" t="s">
        <v>18</v>
      </c>
      <c r="E13" s="1">
        <v>9925.3140000000003</v>
      </c>
      <c r="L13" s="4" t="s">
        <v>42</v>
      </c>
      <c r="M13" s="1">
        <v>10007.846153846154</v>
      </c>
    </row>
    <row r="14" spans="1:13" x14ac:dyDescent="0.3">
      <c r="A14" t="s">
        <v>5</v>
      </c>
      <c r="L14" s="4" t="s">
        <v>43</v>
      </c>
      <c r="M14" s="1">
        <v>11956.181818181818</v>
      </c>
    </row>
    <row r="15" spans="1:13" x14ac:dyDescent="0.3">
      <c r="A15" s="3">
        <v>7</v>
      </c>
      <c r="L15" s="4" t="s">
        <v>44</v>
      </c>
      <c r="M15" s="1">
        <v>12670.304347826086</v>
      </c>
    </row>
    <row r="16" spans="1:13" x14ac:dyDescent="0.3">
      <c r="L16" s="4" t="s">
        <v>18</v>
      </c>
      <c r="M16" s="1">
        <v>11098.651821862348</v>
      </c>
    </row>
    <row r="18" spans="1:13" x14ac:dyDescent="0.3">
      <c r="A18" t="s">
        <v>7</v>
      </c>
      <c r="D18" t="s">
        <v>25</v>
      </c>
      <c r="H18" t="s">
        <v>33</v>
      </c>
    </row>
    <row r="19" spans="1:13" x14ac:dyDescent="0.3">
      <c r="A19" t="s">
        <v>8</v>
      </c>
      <c r="D19" s="2" t="s">
        <v>10</v>
      </c>
      <c r="E19" t="s">
        <v>19</v>
      </c>
      <c r="H19" s="2" t="s">
        <v>10</v>
      </c>
      <c r="I19" t="s">
        <v>19</v>
      </c>
    </row>
    <row r="20" spans="1:13" x14ac:dyDescent="0.3">
      <c r="A20" s="3">
        <v>7</v>
      </c>
      <c r="D20" s="4">
        <v>0</v>
      </c>
      <c r="E20" s="1">
        <v>5808.0344827586205</v>
      </c>
      <c r="H20" s="4" t="s">
        <v>26</v>
      </c>
      <c r="I20" s="1">
        <v>9484.5245901639337</v>
      </c>
    </row>
    <row r="21" spans="1:13" x14ac:dyDescent="0.3">
      <c r="D21" s="4">
        <v>1</v>
      </c>
      <c r="E21" s="1">
        <v>6348.478260869565</v>
      </c>
      <c r="H21" s="4" t="s">
        <v>27</v>
      </c>
      <c r="I21" s="1">
        <v>8216.0689655172409</v>
      </c>
      <c r="L21" t="s">
        <v>46</v>
      </c>
    </row>
    <row r="22" spans="1:13" x14ac:dyDescent="0.3">
      <c r="D22" s="4">
        <v>2</v>
      </c>
      <c r="E22" s="1">
        <v>6528.25</v>
      </c>
      <c r="H22" s="4" t="s">
        <v>28</v>
      </c>
      <c r="I22" s="1">
        <v>12152.5</v>
      </c>
      <c r="L22" s="2" t="s">
        <v>10</v>
      </c>
      <c r="M22" t="s">
        <v>45</v>
      </c>
    </row>
    <row r="23" spans="1:13" x14ac:dyDescent="0.3">
      <c r="D23" s="4">
        <v>3</v>
      </c>
      <c r="E23" s="1">
        <v>7416.2941176470586</v>
      </c>
      <c r="H23" s="4" t="s">
        <v>29</v>
      </c>
      <c r="I23" s="1">
        <v>8973.9125000000004</v>
      </c>
      <c r="L23" s="4" t="s">
        <v>35</v>
      </c>
      <c r="M23" s="5">
        <v>12.1</v>
      </c>
    </row>
    <row r="24" spans="1:13" x14ac:dyDescent="0.3">
      <c r="D24" s="4">
        <v>4</v>
      </c>
      <c r="E24" s="1">
        <v>7836.08</v>
      </c>
      <c r="H24" s="4" t="s">
        <v>30</v>
      </c>
      <c r="I24" s="1">
        <v>9319.7285714285717</v>
      </c>
      <c r="L24" s="4" t="s">
        <v>36</v>
      </c>
      <c r="M24" s="5">
        <v>12.875</v>
      </c>
    </row>
    <row r="25" spans="1:13" x14ac:dyDescent="0.3">
      <c r="D25" s="4">
        <v>5</v>
      </c>
      <c r="E25" s="1">
        <v>8115.4285714285716</v>
      </c>
      <c r="H25" s="4" t="s">
        <v>31</v>
      </c>
      <c r="I25" s="1">
        <v>11623.743243243243</v>
      </c>
      <c r="L25" s="4" t="s">
        <v>37</v>
      </c>
      <c r="M25" s="5">
        <v>10.708333333333334</v>
      </c>
    </row>
    <row r="26" spans="1:13" x14ac:dyDescent="0.3">
      <c r="D26" s="4">
        <v>6</v>
      </c>
      <c r="E26" s="1">
        <v>7882.333333333333</v>
      </c>
      <c r="H26" s="4" t="s">
        <v>32</v>
      </c>
      <c r="I26" s="1">
        <v>9154.7792207792209</v>
      </c>
      <c r="L26" s="4" t="s">
        <v>38</v>
      </c>
      <c r="M26" s="5">
        <v>11.571428571428571</v>
      </c>
    </row>
    <row r="27" spans="1:13" x14ac:dyDescent="0.3">
      <c r="D27" s="4">
        <v>7</v>
      </c>
      <c r="E27" s="1">
        <v>8836.2000000000007</v>
      </c>
      <c r="H27" s="4" t="s">
        <v>18</v>
      </c>
      <c r="I27" s="1">
        <v>9925.3140000000003</v>
      </c>
      <c r="L27" s="4" t="s">
        <v>39</v>
      </c>
      <c r="M27" s="5">
        <v>9.7391304347826093</v>
      </c>
    </row>
    <row r="28" spans="1:13" x14ac:dyDescent="0.3">
      <c r="D28" s="4">
        <v>8</v>
      </c>
      <c r="E28" s="1">
        <v>8817.0769230769238</v>
      </c>
      <c r="L28" s="4" t="s">
        <v>40</v>
      </c>
      <c r="M28" s="5">
        <v>13.791666666666666</v>
      </c>
    </row>
    <row r="29" spans="1:13" x14ac:dyDescent="0.3">
      <c r="D29" s="4">
        <v>9</v>
      </c>
      <c r="E29" s="1">
        <v>9717.181818181818</v>
      </c>
      <c r="L29" s="4" t="s">
        <v>41</v>
      </c>
      <c r="M29" s="5">
        <v>10.833333333333334</v>
      </c>
    </row>
    <row r="30" spans="1:13" x14ac:dyDescent="0.3">
      <c r="D30" s="4">
        <v>10</v>
      </c>
      <c r="E30" s="1">
        <v>9713.454545454546</v>
      </c>
      <c r="L30" s="4" t="s">
        <v>42</v>
      </c>
      <c r="M30" s="5">
        <v>11.846153846153847</v>
      </c>
    </row>
    <row r="31" spans="1:13" x14ac:dyDescent="0.3">
      <c r="D31" s="4">
        <v>11</v>
      </c>
      <c r="E31" s="1">
        <v>10172.611111111111</v>
      </c>
      <c r="L31" s="4" t="s">
        <v>43</v>
      </c>
      <c r="M31" s="5">
        <v>11.848484848484848</v>
      </c>
    </row>
    <row r="32" spans="1:13" x14ac:dyDescent="0.3">
      <c r="D32" s="4">
        <v>12</v>
      </c>
      <c r="E32" s="1">
        <v>10604.45</v>
      </c>
      <c r="L32" s="4" t="s">
        <v>44</v>
      </c>
      <c r="M32" s="5">
        <v>13.695652173913043</v>
      </c>
    </row>
    <row r="33" spans="4:13" x14ac:dyDescent="0.3">
      <c r="D33" s="4">
        <v>13</v>
      </c>
      <c r="E33" s="1">
        <v>10677.666666666666</v>
      </c>
      <c r="L33" s="4" t="s">
        <v>18</v>
      </c>
      <c r="M33" s="5">
        <v>11.834008097165992</v>
      </c>
    </row>
    <row r="34" spans="4:13" x14ac:dyDescent="0.3">
      <c r="D34" s="4">
        <v>14</v>
      </c>
      <c r="E34" s="1">
        <v>10835.3125</v>
      </c>
    </row>
    <row r="35" spans="4:13" x14ac:dyDescent="0.3">
      <c r="D35" s="4">
        <v>15</v>
      </c>
      <c r="E35" s="1">
        <v>11643.533333333333</v>
      </c>
    </row>
    <row r="36" spans="4:13" x14ac:dyDescent="0.3">
      <c r="D36" s="4">
        <v>16</v>
      </c>
      <c r="E36" s="1">
        <v>12042.173913043478</v>
      </c>
    </row>
    <row r="37" spans="4:13" x14ac:dyDescent="0.3">
      <c r="D37" s="4">
        <v>17</v>
      </c>
      <c r="E37" s="1">
        <v>11601.5625</v>
      </c>
    </row>
    <row r="38" spans="4:13" x14ac:dyDescent="0.3">
      <c r="D38" s="4">
        <v>18</v>
      </c>
      <c r="E38" s="1">
        <v>12015.272727272728</v>
      </c>
    </row>
    <row r="39" spans="4:13" x14ac:dyDescent="0.3">
      <c r="D39" s="4">
        <v>19</v>
      </c>
      <c r="E39" s="1">
        <v>13130.5</v>
      </c>
    </row>
    <row r="40" spans="4:13" x14ac:dyDescent="0.3">
      <c r="D40" s="4">
        <v>20</v>
      </c>
      <c r="E40" s="1">
        <v>12214.285714285714</v>
      </c>
    </row>
    <row r="41" spans="4:13" x14ac:dyDescent="0.3">
      <c r="D41" s="4">
        <v>21</v>
      </c>
      <c r="E41" s="1">
        <v>13862.9</v>
      </c>
    </row>
    <row r="42" spans="4:13" x14ac:dyDescent="0.3">
      <c r="D42" s="4">
        <v>22</v>
      </c>
      <c r="E42" s="1">
        <v>13721.3</v>
      </c>
    </row>
    <row r="43" spans="4:13" x14ac:dyDescent="0.3">
      <c r="D43" s="4">
        <v>23</v>
      </c>
      <c r="E43" s="1">
        <v>13648</v>
      </c>
    </row>
    <row r="44" spans="4:13" x14ac:dyDescent="0.3">
      <c r="D44" s="4">
        <v>24</v>
      </c>
      <c r="E44" s="1">
        <v>14713</v>
      </c>
    </row>
    <row r="45" spans="4:13" x14ac:dyDescent="0.3">
      <c r="D45" s="4">
        <v>25</v>
      </c>
      <c r="E45" s="1">
        <v>16005.166666666666</v>
      </c>
    </row>
    <row r="46" spans="4:13" x14ac:dyDescent="0.3">
      <c r="D46" s="4">
        <v>26</v>
      </c>
      <c r="E46" s="1">
        <v>16182.375</v>
      </c>
    </row>
    <row r="47" spans="4:13" x14ac:dyDescent="0.3">
      <c r="D47" s="4">
        <v>27</v>
      </c>
      <c r="E47" s="1">
        <v>15153.75</v>
      </c>
    </row>
    <row r="48" spans="4:13" x14ac:dyDescent="0.3">
      <c r="D48" s="4">
        <v>28</v>
      </c>
      <c r="E48" s="1">
        <v>17912.5</v>
      </c>
    </row>
    <row r="49" spans="4:5" x14ac:dyDescent="0.3">
      <c r="D49" s="4">
        <v>29</v>
      </c>
      <c r="E49" s="1">
        <v>14154.333333333334</v>
      </c>
    </row>
    <row r="50" spans="4:5" x14ac:dyDescent="0.3">
      <c r="D50" s="4">
        <v>30</v>
      </c>
      <c r="E50" s="1">
        <v>16074.333333333334</v>
      </c>
    </row>
    <row r="51" spans="4:5" x14ac:dyDescent="0.3">
      <c r="D51" s="4">
        <v>31</v>
      </c>
      <c r="E51" s="1">
        <v>17084</v>
      </c>
    </row>
    <row r="52" spans="4:5" x14ac:dyDescent="0.3">
      <c r="D52" s="4">
        <v>32</v>
      </c>
      <c r="E52" s="1">
        <v>19552</v>
      </c>
    </row>
    <row r="53" spans="4:5" x14ac:dyDescent="0.3">
      <c r="D53" s="4">
        <v>33</v>
      </c>
      <c r="E53" s="1">
        <v>13250.5</v>
      </c>
    </row>
    <row r="54" spans="4:5" x14ac:dyDescent="0.3">
      <c r="D54" s="4">
        <v>34</v>
      </c>
      <c r="E54" s="1">
        <v>20543</v>
      </c>
    </row>
    <row r="55" spans="4:5" x14ac:dyDescent="0.3">
      <c r="D55" s="4">
        <v>37</v>
      </c>
      <c r="E55" s="1">
        <v>16899</v>
      </c>
    </row>
    <row r="56" spans="4:5" x14ac:dyDescent="0.3">
      <c r="D56" s="4" t="s">
        <v>18</v>
      </c>
      <c r="E56" s="1">
        <v>9925.3140000000003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D3C35-7D4C-4D38-B65B-7A2A8E937F20}">
  <dimension ref="A1:BC134"/>
  <sheetViews>
    <sheetView showGridLines="0" showRowColHeaders="0" tabSelected="1" zoomScale="85" zoomScaleNormal="85" workbookViewId="0">
      <selection activeCell="K39" sqref="K39"/>
    </sheetView>
  </sheetViews>
  <sheetFormatPr defaultRowHeight="18.75" x14ac:dyDescent="0.3"/>
  <sheetData>
    <row r="1" spans="1:55"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row>
    <row r="2" spans="1:55" x14ac:dyDescent="0.3">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x14ac:dyDescent="0.3">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row>
    <row r="4" spans="1:55"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x14ac:dyDescent="0.3">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row>
    <row r="6" spans="1:55" x14ac:dyDescent="0.3">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row>
    <row r="7" spans="1:55" x14ac:dyDescent="0.3">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row>
    <row r="8" spans="1:55" x14ac:dyDescent="0.3">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row>
    <row r="9" spans="1:55"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row>
    <row r="10" spans="1:55" x14ac:dyDescent="0.3">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row>
    <row r="11" spans="1:55"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row>
    <row r="12" spans="1:55" x14ac:dyDescent="0.3">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row>
    <row r="13" spans="1:55"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row>
    <row r="14" spans="1:55" x14ac:dyDescent="0.3">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row>
    <row r="15" spans="1:55"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row>
    <row r="16" spans="1:55"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row>
    <row r="17" spans="1:55" x14ac:dyDescent="0.3">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row>
    <row r="18" spans="1:55"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row>
    <row r="19" spans="1:55"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row>
    <row r="20" spans="1:55" x14ac:dyDescent="0.3">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row>
    <row r="21" spans="1:55" x14ac:dyDescent="0.3">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row>
    <row r="22" spans="1:55"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row>
    <row r="23" spans="1:55" x14ac:dyDescent="0.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row>
    <row r="24" spans="1:55"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row>
    <row r="25" spans="1:55"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row>
    <row r="26" spans="1:55"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row>
    <row r="27" spans="1:55"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row>
    <row r="28" spans="1:55"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row>
    <row r="29" spans="1:55"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row>
    <row r="30" spans="1:55"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row>
    <row r="31" spans="1:55"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row>
    <row r="32" spans="1:55"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row>
    <row r="33" spans="1:55"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row>
    <row r="34" spans="1:55"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row>
    <row r="35" spans="1:55"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row>
    <row r="36" spans="1:55"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row>
    <row r="37" spans="1:55"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row>
    <row r="38" spans="1:55"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row>
    <row r="39" spans="1:55"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row>
    <row r="40" spans="1:55"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row>
    <row r="41" spans="1:55"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row>
    <row r="42" spans="1:55"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row>
    <row r="43" spans="1:55"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row>
    <row r="44" spans="1:55"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row>
    <row r="45" spans="1:55"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row>
    <row r="46" spans="1:55"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row>
    <row r="47" spans="1:55"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row>
    <row r="48" spans="1:55"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row>
    <row r="49" spans="1:55"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row>
    <row r="50" spans="1:55"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row>
    <row r="51" spans="1:55"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row>
    <row r="52" spans="1:55"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row>
    <row r="53" spans="1:55"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row>
    <row r="54" spans="1:55"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row>
    <row r="55" spans="1:55"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row>
    <row r="56" spans="1:55"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row>
    <row r="57" spans="1:55"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row>
    <row r="58" spans="1:55"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row>
    <row r="59" spans="1:55"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row>
    <row r="60" spans="1:55"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row>
    <row r="61" spans="1:55"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row>
    <row r="62" spans="1:55"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row>
    <row r="63" spans="1:55"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row>
    <row r="64" spans="1:55"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row>
    <row r="65" spans="1:55"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row>
    <row r="66" spans="1:55"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row>
    <row r="67" spans="1:55"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row>
    <row r="68" spans="1:55"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row>
    <row r="69" spans="1:55"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row>
    <row r="70" spans="1:55"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row>
    <row r="71" spans="1:55"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row>
    <row r="72" spans="1:55"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row>
    <row r="73" spans="1:55"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row>
    <row r="74" spans="1:55"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row>
    <row r="75" spans="1:55"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row>
    <row r="76" spans="1:55"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row>
    <row r="77" spans="1:55"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row>
    <row r="78" spans="1:55"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row>
    <row r="79" spans="1:55"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row>
    <row r="80" spans="1:55"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row>
    <row r="81" spans="1:55"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row>
    <row r="82" spans="1:55"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row>
    <row r="83" spans="1:55"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row>
    <row r="84" spans="1:55"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row>
    <row r="85" spans="1:55"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row>
    <row r="86" spans="1:55"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row>
    <row r="87" spans="1:55"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row>
    <row r="88" spans="1:55"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row>
    <row r="89" spans="1:55"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row>
    <row r="90" spans="1:55"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row>
    <row r="91" spans="1:55"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row>
    <row r="92" spans="1:55"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row>
    <row r="93" spans="1:55"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row>
    <row r="94" spans="1:55"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row>
    <row r="95" spans="1:55"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row>
    <row r="96" spans="1:55"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row>
    <row r="97" spans="1:55"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row>
    <row r="98" spans="1:55"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row>
    <row r="99" spans="1:55"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row>
    <row r="100" spans="1:55"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row>
    <row r="101" spans="1:55" x14ac:dyDescent="0.3">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row>
    <row r="102" spans="1:55" x14ac:dyDescent="0.3">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row>
    <row r="103" spans="1:55" x14ac:dyDescent="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row>
    <row r="104" spans="1:55" x14ac:dyDescent="0.3">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row>
    <row r="105" spans="1:55" x14ac:dyDescent="0.3">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row>
    <row r="106" spans="1:55" x14ac:dyDescent="0.3">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row>
    <row r="107" spans="1:55" x14ac:dyDescent="0.3">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row>
    <row r="108" spans="1:55" x14ac:dyDescent="0.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row>
    <row r="109" spans="1:55" x14ac:dyDescent="0.3">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row>
    <row r="110" spans="1:55" x14ac:dyDescent="0.3">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row>
    <row r="111" spans="1:55" x14ac:dyDescent="0.3">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row>
    <row r="112" spans="1:55" x14ac:dyDescent="0.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row>
    <row r="113" spans="1:55" x14ac:dyDescent="0.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row>
    <row r="114" spans="1:55" x14ac:dyDescent="0.3">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row>
    <row r="115" spans="1:55" x14ac:dyDescent="0.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row>
    <row r="116" spans="1:55" x14ac:dyDescent="0.3">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row>
    <row r="117" spans="1:55" x14ac:dyDescent="0.3">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row>
    <row r="118" spans="1:55" x14ac:dyDescent="0.3">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row>
    <row r="119" spans="1:55" x14ac:dyDescent="0.3">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row>
    <row r="120" spans="1:55" x14ac:dyDescent="0.3">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row>
    <row r="121" spans="1:55" x14ac:dyDescent="0.3">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row>
    <row r="122" spans="1:55" x14ac:dyDescent="0.3">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row>
    <row r="123" spans="1:55" x14ac:dyDescent="0.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row>
    <row r="124" spans="1:55" x14ac:dyDescent="0.3">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row>
    <row r="125" spans="1:55" x14ac:dyDescent="0.3">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row>
    <row r="126" spans="1:55" x14ac:dyDescent="0.3">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row>
    <row r="127" spans="1:55" x14ac:dyDescent="0.3">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row>
    <row r="128" spans="1:55" x14ac:dyDescent="0.3">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row>
    <row r="129" spans="1:55" x14ac:dyDescent="0.3">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row>
    <row r="130" spans="1:55" x14ac:dyDescent="0.3">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row>
    <row r="131" spans="1:55" x14ac:dyDescent="0.3">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row>
    <row r="132" spans="1:55" x14ac:dyDescent="0.3">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row>
    <row r="133" spans="1:55" x14ac:dyDescent="0.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row>
    <row r="134" spans="1:55" x14ac:dyDescent="0.3">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E7542-2E2A-4FCE-8AE7-3F2B4AEBD414}">
  <dimension ref="F2:R16"/>
  <sheetViews>
    <sheetView showGridLines="0" zoomScaleNormal="100" workbookViewId="0">
      <selection activeCell="Q24" sqref="Q24"/>
    </sheetView>
  </sheetViews>
  <sheetFormatPr defaultRowHeight="18.75" x14ac:dyDescent="0.3"/>
  <sheetData>
    <row r="2" spans="6:18" ht="19.5" thickBot="1" x14ac:dyDescent="0.35"/>
    <row r="3" spans="6:18" ht="28.5" x14ac:dyDescent="0.3">
      <c r="F3" s="18" t="s">
        <v>53</v>
      </c>
      <c r="G3" s="19"/>
      <c r="H3" s="19"/>
      <c r="I3" s="19"/>
      <c r="J3" s="19"/>
      <c r="K3" s="19"/>
      <c r="L3" s="19"/>
      <c r="M3" s="19"/>
      <c r="N3" s="19"/>
      <c r="O3" s="19"/>
      <c r="P3" s="19"/>
      <c r="Q3" s="19"/>
      <c r="R3" s="20"/>
    </row>
    <row r="4" spans="6:18" x14ac:dyDescent="0.3">
      <c r="F4" s="7"/>
      <c r="G4" s="8"/>
      <c r="H4" s="8"/>
      <c r="I4" s="8"/>
      <c r="J4" s="8"/>
      <c r="K4" s="8"/>
      <c r="L4" s="8"/>
      <c r="M4" s="8"/>
      <c r="N4" s="8"/>
      <c r="O4" s="8"/>
      <c r="P4" s="8"/>
      <c r="Q4" s="8"/>
      <c r="R4" s="9"/>
    </row>
    <row r="5" spans="6:18" x14ac:dyDescent="0.3">
      <c r="F5" s="13" t="s">
        <v>47</v>
      </c>
      <c r="G5" s="14"/>
      <c r="H5" s="14"/>
      <c r="I5" s="14"/>
      <c r="J5" s="14"/>
      <c r="K5" s="14"/>
      <c r="L5" s="14"/>
      <c r="M5" s="14"/>
      <c r="N5" s="14"/>
      <c r="O5" s="14"/>
      <c r="P5" s="14"/>
      <c r="Q5" s="14"/>
      <c r="R5" s="15"/>
    </row>
    <row r="6" spans="6:18" x14ac:dyDescent="0.3">
      <c r="F6" s="13"/>
      <c r="G6" s="14"/>
      <c r="H6" s="14"/>
      <c r="I6" s="14"/>
      <c r="J6" s="14"/>
      <c r="K6" s="14"/>
      <c r="L6" s="14"/>
      <c r="M6" s="14"/>
      <c r="N6" s="14"/>
      <c r="O6" s="14"/>
      <c r="P6" s="14"/>
      <c r="Q6" s="14"/>
      <c r="R6" s="15"/>
    </row>
    <row r="7" spans="6:18" ht="21" x14ac:dyDescent="0.3">
      <c r="F7" s="13" t="s">
        <v>48</v>
      </c>
      <c r="G7" s="16"/>
      <c r="H7" s="16"/>
      <c r="I7" s="16"/>
      <c r="J7" s="16"/>
      <c r="K7" s="16"/>
      <c r="L7" s="16"/>
      <c r="M7" s="16"/>
      <c r="N7" s="16"/>
      <c r="O7" s="16"/>
      <c r="P7" s="16"/>
      <c r="Q7" s="16"/>
      <c r="R7" s="17"/>
    </row>
    <row r="8" spans="6:18" x14ac:dyDescent="0.3">
      <c r="F8" s="13" t="s">
        <v>49</v>
      </c>
      <c r="G8" s="14"/>
      <c r="H8" s="14"/>
      <c r="I8" s="14"/>
      <c r="J8" s="14"/>
      <c r="K8" s="14"/>
      <c r="L8" s="14"/>
      <c r="M8" s="14"/>
      <c r="N8" s="14"/>
      <c r="O8" s="14"/>
      <c r="P8" s="14"/>
      <c r="Q8" s="14"/>
      <c r="R8" s="15"/>
    </row>
    <row r="9" spans="6:18" x14ac:dyDescent="0.3">
      <c r="F9" s="13"/>
      <c r="G9" s="14"/>
      <c r="H9" s="14"/>
      <c r="I9" s="14"/>
      <c r="J9" s="14"/>
      <c r="K9" s="14"/>
      <c r="L9" s="14"/>
      <c r="M9" s="14"/>
      <c r="N9" s="14"/>
      <c r="O9" s="14"/>
      <c r="P9" s="14"/>
      <c r="Q9" s="14"/>
      <c r="R9" s="15"/>
    </row>
    <row r="10" spans="6:18" x14ac:dyDescent="0.3">
      <c r="F10" s="13" t="s">
        <v>50</v>
      </c>
      <c r="G10" s="14"/>
      <c r="H10" s="14"/>
      <c r="I10" s="14"/>
      <c r="J10" s="14"/>
      <c r="K10" s="14"/>
      <c r="L10" s="14"/>
      <c r="M10" s="14"/>
      <c r="N10" s="14"/>
      <c r="O10" s="14"/>
      <c r="P10" s="14"/>
      <c r="Q10" s="14"/>
      <c r="R10" s="15"/>
    </row>
    <row r="11" spans="6:18" x14ac:dyDescent="0.3">
      <c r="F11" s="13"/>
      <c r="G11" s="14"/>
      <c r="H11" s="14"/>
      <c r="I11" s="14"/>
      <c r="J11" s="14"/>
      <c r="K11" s="14"/>
      <c r="L11" s="14"/>
      <c r="M11" s="14"/>
      <c r="N11" s="14"/>
      <c r="O11" s="14"/>
      <c r="P11" s="14"/>
      <c r="Q11" s="14"/>
      <c r="R11" s="15"/>
    </row>
    <row r="12" spans="6:18" x14ac:dyDescent="0.3">
      <c r="F12" s="13" t="s">
        <v>51</v>
      </c>
      <c r="G12" s="14"/>
      <c r="H12" s="14"/>
      <c r="I12" s="14"/>
      <c r="J12" s="14"/>
      <c r="K12" s="14"/>
      <c r="L12" s="14"/>
      <c r="M12" s="14"/>
      <c r="N12" s="14"/>
      <c r="O12" s="14"/>
      <c r="P12" s="14"/>
      <c r="Q12" s="14"/>
      <c r="R12" s="15"/>
    </row>
    <row r="13" spans="6:18" x14ac:dyDescent="0.3">
      <c r="F13" s="13"/>
      <c r="G13" s="14"/>
      <c r="H13" s="14"/>
      <c r="I13" s="14"/>
      <c r="J13" s="14"/>
      <c r="K13" s="14"/>
      <c r="L13" s="14"/>
      <c r="M13" s="14"/>
      <c r="N13" s="14"/>
      <c r="O13" s="14"/>
      <c r="P13" s="14"/>
      <c r="Q13" s="14"/>
      <c r="R13" s="15"/>
    </row>
    <row r="14" spans="6:18" x14ac:dyDescent="0.3">
      <c r="F14" s="13" t="s">
        <v>52</v>
      </c>
      <c r="G14" s="14"/>
      <c r="H14" s="14"/>
      <c r="I14" s="14"/>
      <c r="J14" s="14"/>
      <c r="K14" s="14"/>
      <c r="L14" s="14"/>
      <c r="M14" s="14"/>
      <c r="N14" s="14"/>
      <c r="O14" s="14"/>
      <c r="P14" s="14"/>
      <c r="Q14" s="14"/>
      <c r="R14" s="15"/>
    </row>
    <row r="15" spans="6:18" x14ac:dyDescent="0.3">
      <c r="F15" s="13"/>
      <c r="G15" s="14"/>
      <c r="H15" s="14"/>
      <c r="I15" s="14"/>
      <c r="J15" s="14"/>
      <c r="K15" s="14"/>
      <c r="L15" s="14"/>
      <c r="M15" s="14"/>
      <c r="N15" s="14"/>
      <c r="O15" s="14"/>
      <c r="P15" s="14"/>
      <c r="Q15" s="14"/>
      <c r="R15" s="15"/>
    </row>
    <row r="16" spans="6:18" ht="21.75" thickBot="1" x14ac:dyDescent="0.35">
      <c r="F16" s="10"/>
      <c r="G16" s="11"/>
      <c r="H16" s="11"/>
      <c r="I16" s="11"/>
      <c r="J16" s="11"/>
      <c r="K16" s="11"/>
      <c r="L16" s="11"/>
      <c r="M16" s="11"/>
      <c r="N16" s="11"/>
      <c r="O16" s="11"/>
      <c r="P16" s="11"/>
      <c r="Q16" s="11"/>
      <c r="R16" s="12"/>
    </row>
  </sheetData>
  <mergeCells count="9">
    <mergeCell ref="F3:R3"/>
    <mergeCell ref="F4:R4"/>
    <mergeCell ref="F5:R6"/>
    <mergeCell ref="F7:R7"/>
    <mergeCell ref="F8:R9"/>
    <mergeCell ref="F10:R11"/>
    <mergeCell ref="F12:R13"/>
    <mergeCell ref="F14:R15"/>
    <mergeCell ref="F16:R1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185F5C71-18B8-46E8-9E79-33FB1A7343DC}">
  <ds:schemaRefs/>
</ds:datastoreItem>
</file>

<file path=customXml/itemProps2.xml><?xml version="1.0" encoding="utf-8"?>
<ds:datastoreItem xmlns:ds="http://schemas.openxmlformats.org/officeDocument/2006/customXml" ds:itemID="{BA56D701-62FB-4467-95C8-32DBC36AED27}">
  <ds:schemaRefs/>
</ds:datastoreItem>
</file>

<file path=customXml/itemProps3.xml><?xml version="1.0" encoding="utf-8"?>
<ds:datastoreItem xmlns:ds="http://schemas.openxmlformats.org/officeDocument/2006/customXml" ds:itemID="{E96736C6-ED2F-4979-A43E-9C0883CD1054}">
  <ds:schemaRefs/>
</ds:datastoreItem>
</file>

<file path=customXml/itemProps4.xml><?xml version="1.0" encoding="utf-8"?>
<ds:datastoreItem xmlns:ds="http://schemas.openxmlformats.org/officeDocument/2006/customXml" ds:itemID="{96D8199B-B45C-4ED3-825F-867FCF688FB7}">
  <ds:schemaRefs/>
</ds:datastoreItem>
</file>

<file path=customXml/itemProps5.xml><?xml version="1.0" encoding="utf-8"?>
<ds:datastoreItem xmlns:ds="http://schemas.openxmlformats.org/officeDocument/2006/customXml" ds:itemID="{3EB1F477-CED1-4FFF-BAB1-8781BD0622D9}">
  <ds:schemaRefs/>
</ds:datastoreItem>
</file>

<file path=customXml/itemProps6.xml><?xml version="1.0" encoding="utf-8"?>
<ds:datastoreItem xmlns:ds="http://schemas.openxmlformats.org/officeDocument/2006/customXml" ds:itemID="{7C3168F2-A73A-4380-AB41-3E089A6CA83E}">
  <ds:schemaRefs/>
</ds:datastoreItem>
</file>

<file path=customXml/itemProps7.xml><?xml version="1.0" encoding="utf-8"?>
<ds:datastoreItem xmlns:ds="http://schemas.openxmlformats.org/officeDocument/2006/customXml" ds:itemID="{0D4E783B-1ED2-42CF-BAA3-5AA977779E27}">
  <ds:schemaRefs/>
</ds:datastoreItem>
</file>

<file path=customXml/itemProps8.xml><?xml version="1.0" encoding="utf-8"?>
<ds:datastoreItem xmlns:ds="http://schemas.openxmlformats.org/officeDocument/2006/customXml" ds:itemID="{F12BFE16-27BE-45C2-BE41-C9DC60D91579}">
  <ds:schemaRefs/>
</ds:datastoreItem>
</file>

<file path=customXml/itemProps9.xml><?xml version="1.0" encoding="utf-8"?>
<ds:datastoreItem xmlns:ds="http://schemas.openxmlformats.org/officeDocument/2006/customXml" ds:itemID="{014C5BED-5D21-49C1-823E-CFC16F1A757C}">
  <ds:schemaRefs/>
</ds:datastoreItem>
</file>

<file path=customXml/itemProps10.xml><?xml version="1.0" encoding="utf-8"?>
<ds:datastoreItem xmlns:ds="http://schemas.openxmlformats.org/officeDocument/2006/customXml" ds:itemID="{1C118B34-BF9C-4275-8A74-E2A1A26EFD8A}">
  <ds:schemaRefs>
    <ds:schemaRef ds:uri="http://schemas.microsoft.com/DataMashup"/>
  </ds:schemaRefs>
</ds:datastoreItem>
</file>

<file path=customXml/itemProps11.xml><?xml version="1.0" encoding="utf-8"?>
<ds:datastoreItem xmlns:ds="http://schemas.openxmlformats.org/officeDocument/2006/customXml" ds:itemID="{F19789B4-4A41-4651-ADCC-1D0EB56182B9}">
  <ds:schemaRefs/>
</ds:datastoreItem>
</file>

<file path=customXml/itemProps12.xml><?xml version="1.0" encoding="utf-8"?>
<ds:datastoreItem xmlns:ds="http://schemas.openxmlformats.org/officeDocument/2006/customXml" ds:itemID="{E381077B-7BBA-47FF-AA87-1FAA9BBF228F}">
  <ds:schemaRefs/>
</ds:datastoreItem>
</file>

<file path=customXml/itemProps13.xml><?xml version="1.0" encoding="utf-8"?>
<ds:datastoreItem xmlns:ds="http://schemas.openxmlformats.org/officeDocument/2006/customXml" ds:itemID="{4073209A-2997-4F0E-A4FC-6F1C11FB86F9}">
  <ds:schemaRefs/>
</ds:datastoreItem>
</file>

<file path=customXml/itemProps14.xml><?xml version="1.0" encoding="utf-8"?>
<ds:datastoreItem xmlns:ds="http://schemas.openxmlformats.org/officeDocument/2006/customXml" ds:itemID="{0B457F0F-4A0B-4318-BBA6-6EEC111F0C99}">
  <ds:schemaRefs/>
</ds:datastoreItem>
</file>

<file path=customXml/itemProps15.xml><?xml version="1.0" encoding="utf-8"?>
<ds:datastoreItem xmlns:ds="http://schemas.openxmlformats.org/officeDocument/2006/customXml" ds:itemID="{4F7C42EE-CA88-4B8D-B7DE-917A6B224AA4}">
  <ds:schemaRefs/>
</ds:datastoreItem>
</file>

<file path=customXml/itemProps16.xml><?xml version="1.0" encoding="utf-8"?>
<ds:datastoreItem xmlns:ds="http://schemas.openxmlformats.org/officeDocument/2006/customXml" ds:itemID="{E6F270D4-E179-41CF-8157-35CB3ADA58E9}">
  <ds:schemaRefs/>
</ds:datastoreItem>
</file>

<file path=customXml/itemProps17.xml><?xml version="1.0" encoding="utf-8"?>
<ds:datastoreItem xmlns:ds="http://schemas.openxmlformats.org/officeDocument/2006/customXml" ds:itemID="{71833C85-9269-451A-B5BF-E621B1D423BE}">
  <ds:schemaRefs/>
</ds:datastoreItem>
</file>

<file path=customXml/itemProps18.xml><?xml version="1.0" encoding="utf-8"?>
<ds:datastoreItem xmlns:ds="http://schemas.openxmlformats.org/officeDocument/2006/customXml" ds:itemID="{D0FABC23-6EEC-46FA-BF83-5CB5956F89AA}">
  <ds:schemaRefs/>
</ds:datastoreItem>
</file>

<file path=customXml/itemProps19.xml><?xml version="1.0" encoding="utf-8"?>
<ds:datastoreItem xmlns:ds="http://schemas.openxmlformats.org/officeDocument/2006/customXml" ds:itemID="{D9E66CA0-0A57-4F3B-B12A-E4316D6D1A81}">
  <ds:schemaRefs/>
</ds:datastoreItem>
</file>

<file path=customXml/itemProps20.xml><?xml version="1.0" encoding="utf-8"?>
<ds:datastoreItem xmlns:ds="http://schemas.openxmlformats.org/officeDocument/2006/customXml" ds:itemID="{AEA202BD-AA91-4BA7-9830-32665B908206}">
  <ds:schemaRefs/>
</ds:datastoreItem>
</file>

<file path=customXml/itemProps21.xml><?xml version="1.0" encoding="utf-8"?>
<ds:datastoreItem xmlns:ds="http://schemas.openxmlformats.org/officeDocument/2006/customXml" ds:itemID="{9F6F0D80-25A6-4A48-BE55-CC962595CDE0}">
  <ds:schemaRefs/>
</ds:datastoreItem>
</file>

<file path=customXml/itemProps22.xml><?xml version="1.0" encoding="utf-8"?>
<ds:datastoreItem xmlns:ds="http://schemas.openxmlformats.org/officeDocument/2006/customXml" ds:itemID="{ADB3DBEB-71F7-4CD8-867F-685A145471BC}">
  <ds:schemaRefs/>
</ds:datastoreItem>
</file>

<file path=customXml/itemProps23.xml><?xml version="1.0" encoding="utf-8"?>
<ds:datastoreItem xmlns:ds="http://schemas.openxmlformats.org/officeDocument/2006/customXml" ds:itemID="{5664839E-80A4-4769-A9E5-B2102A422E39}">
  <ds:schemaRefs/>
</ds:datastoreItem>
</file>

<file path=customXml/itemProps24.xml><?xml version="1.0" encoding="utf-8"?>
<ds:datastoreItem xmlns:ds="http://schemas.openxmlformats.org/officeDocument/2006/customXml" ds:itemID="{F5A1AD44-8E70-4B18-AC0B-7ED6FE09D9B6}">
  <ds:schemaRefs/>
</ds:datastoreItem>
</file>

<file path=customXml/itemProps25.xml><?xml version="1.0" encoding="utf-8"?>
<ds:datastoreItem xmlns:ds="http://schemas.openxmlformats.org/officeDocument/2006/customXml" ds:itemID="{69F7AFD5-D20F-43B1-A7C4-C4BC537072E7}">
  <ds:schemaRefs/>
</ds:datastoreItem>
</file>

<file path=customXml/itemProps26.xml><?xml version="1.0" encoding="utf-8"?>
<ds:datastoreItem xmlns:ds="http://schemas.openxmlformats.org/officeDocument/2006/customXml" ds:itemID="{74B6ECF1-1CCD-43D8-B8EC-336CDDB93B4A}">
  <ds:schemaRefs/>
</ds:datastoreItem>
</file>

<file path=customXml/itemProps27.xml><?xml version="1.0" encoding="utf-8"?>
<ds:datastoreItem xmlns:ds="http://schemas.openxmlformats.org/officeDocument/2006/customXml" ds:itemID="{033DDCAE-DECF-4B6F-BC1E-4CCA9DF420C1}">
  <ds:schemaRefs/>
</ds:datastoreItem>
</file>

<file path=customXml/itemProps28.xml><?xml version="1.0" encoding="utf-8"?>
<ds:datastoreItem xmlns:ds="http://schemas.openxmlformats.org/officeDocument/2006/customXml" ds:itemID="{35279A27-38B4-4D9A-8558-AB483BFE7D2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Dash Board</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Hosny</dc:creator>
  <cp:lastModifiedBy>Mohammed Hosny</cp:lastModifiedBy>
  <dcterms:created xsi:type="dcterms:W3CDTF">2026-01-15T14:47:08Z</dcterms:created>
  <dcterms:modified xsi:type="dcterms:W3CDTF">2026-01-15T23:12:53Z</dcterms:modified>
</cp:coreProperties>
</file>